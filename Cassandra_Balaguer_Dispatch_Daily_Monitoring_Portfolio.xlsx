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Daily Monitoring" sheetId="2" state="visible" r:id="rId2"/>
    <sheet xmlns:r="http://schemas.openxmlformats.org/officeDocument/2006/relationships" name="KPI Summary" sheetId="3" state="visible" r:id="rId3"/>
  </sheets>
  <definedNames>
    <definedName name="_xlnm._FilterDatabase" localSheetId="1" hidden="1">'Daily Monitoring'!$A$1:$N$13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  <sz val="22"/>
    </font>
    <font>
      <b val="1"/>
      <color rgb="00FFFFFF"/>
      <sz val="18"/>
    </font>
    <font>
      <b val="1"/>
      <color rgb="00111827"/>
      <sz val="18"/>
    </font>
    <font>
      <b val="1"/>
      <color rgb="00FFFFFF"/>
    </font>
    <font>
      <b val="1"/>
      <sz val="8"/>
    </font>
    <font>
      <b val="1"/>
      <color rgb="00FFFFFF"/>
      <sz val="14"/>
    </font>
    <font>
      <b val="1"/>
      <color rgb="00FFFFFF"/>
      <sz val="13"/>
    </font>
    <font>
      <i val="1"/>
      <color rgb="006B7280"/>
    </font>
  </fonts>
  <fills count="8">
    <fill>
      <patternFill/>
    </fill>
    <fill>
      <patternFill patternType="gray125"/>
    </fill>
    <fill>
      <patternFill patternType="solid">
        <fgColor rgb="00F59E0B"/>
      </patternFill>
    </fill>
    <fill>
      <patternFill patternType="solid">
        <fgColor rgb="007BC943"/>
      </patternFill>
    </fill>
    <fill>
      <patternFill patternType="solid">
        <fgColor rgb="00FFF200"/>
      </patternFill>
    </fill>
    <fill>
      <patternFill patternType="solid">
        <fgColor rgb="00C00000"/>
      </patternFill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9CA3A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/>
    </xf>
    <xf numFmtId="0" fontId="1" fillId="3" borderId="1" pivotButton="0" quotePrefix="0" xfId="0"/>
    <xf numFmtId="0" fontId="1" fillId="4" borderId="1" pivotButton="0" quotePrefix="0" xfId="0"/>
    <xf numFmtId="0" fontId="6" fillId="5" borderId="1" pivotButton="0" quotePrefix="0" xfId="0"/>
    <xf numFmtId="0" fontId="9" fillId="6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'KPI Summary'!$A$4:$A$6</f>
            </numRef>
          </cat>
          <val>
            <numRef>
              <f>'KPI Summary'!$B$4:$B$6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DispatchTable" displayName="DailyDispatchTable" ref="A1:N13" headerRowCount="1">
  <autoFilter ref="A1:N13"/>
  <tableColumns count="14">
    <tableColumn id="1" name="Dispatch Date"/>
    <tableColumn id="2" name="Order / Unit ID"/>
    <tableColumn id="3" name="Coordinator"/>
    <tableColumn id="4" name="Pick Code"/>
    <tableColumn id="5" name="DR Reference"/>
    <tableColumn id="6" name="Material Code"/>
    <tableColumn id="7" name="Serial / Unit No."/>
    <tableColumn id="8" name="Qty"/>
    <tableColumn id="9" name="Driver / Helper"/>
    <tableColumn id="10" name="Truck Type"/>
    <tableColumn id="11" name="Status"/>
    <tableColumn id="12" name="Issue / Reason"/>
    <tableColumn id="13" name="Follow-up Action"/>
    <tableColumn id="14" name="Re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12" customWidth="1" min="33" max="33"/>
  </cols>
  <sheetData>
    <row r="1">
      <c r="A1" s="7" t="inlineStr">
        <is>
          <t>OUTBOUND KPI — SAMPLE PORTFOLIO DASHBOARD</t>
        </is>
      </c>
    </row>
    <row r="2"/>
    <row r="4">
      <c r="A4" s="8" t="inlineStr">
        <is>
          <t>ON-TIME DISPATCH
96%</t>
        </is>
      </c>
      <c r="J4" s="9" t="inlineStr">
        <is>
          <t>DISPATCH ACCURACY
98%</t>
        </is>
      </c>
      <c r="S4" s="10" t="inlineStr">
        <is>
          <t>ABORTED
4%</t>
        </is>
      </c>
    </row>
    <row r="5"/>
    <row r="6"/>
    <row r="7">
      <c r="A7" s="11" t="n"/>
      <c r="B7" s="11" t="n"/>
      <c r="C7" s="12" t="inlineStr">
        <is>
          <t>SAT</t>
        </is>
      </c>
      <c r="D7" s="12" t="inlineStr">
        <is>
          <t>SUN</t>
        </is>
      </c>
      <c r="E7" s="12" t="inlineStr">
        <is>
          <t>MON</t>
        </is>
      </c>
      <c r="F7" s="12" t="inlineStr">
        <is>
          <t>TUE</t>
        </is>
      </c>
      <c r="G7" s="12" t="inlineStr">
        <is>
          <t>WED</t>
        </is>
      </c>
      <c r="H7" s="12" t="inlineStr">
        <is>
          <t>THU</t>
        </is>
      </c>
      <c r="I7" s="12" t="inlineStr">
        <is>
          <t>FRI</t>
        </is>
      </c>
      <c r="J7" s="12" t="inlineStr">
        <is>
          <t>SAT</t>
        </is>
      </c>
      <c r="K7" s="12" t="inlineStr">
        <is>
          <t>SUN</t>
        </is>
      </c>
      <c r="L7" s="12" t="inlineStr">
        <is>
          <t>MON</t>
        </is>
      </c>
      <c r="M7" s="12" t="inlineStr">
        <is>
          <t>TUE</t>
        </is>
      </c>
      <c r="N7" s="12" t="inlineStr">
        <is>
          <t>WED</t>
        </is>
      </c>
      <c r="O7" s="12" t="inlineStr">
        <is>
          <t>THU</t>
        </is>
      </c>
      <c r="P7" s="12" t="inlineStr">
        <is>
          <t>FRI</t>
        </is>
      </c>
      <c r="Q7" s="12" t="inlineStr">
        <is>
          <t>SAT</t>
        </is>
      </c>
      <c r="R7" s="12" t="inlineStr">
        <is>
          <t>SUN</t>
        </is>
      </c>
      <c r="S7" s="12" t="inlineStr">
        <is>
          <t>MON</t>
        </is>
      </c>
      <c r="T7" s="12" t="inlineStr">
        <is>
          <t>TUE</t>
        </is>
      </c>
      <c r="U7" s="12" t="inlineStr">
        <is>
          <t>WED</t>
        </is>
      </c>
      <c r="V7" s="12" t="inlineStr">
        <is>
          <t>THU</t>
        </is>
      </c>
      <c r="W7" s="12" t="inlineStr">
        <is>
          <t>FRI</t>
        </is>
      </c>
      <c r="X7" s="12" t="inlineStr">
        <is>
          <t>SAT</t>
        </is>
      </c>
      <c r="Y7" s="12" t="inlineStr">
        <is>
          <t>SUN</t>
        </is>
      </c>
      <c r="Z7" s="12" t="inlineStr">
        <is>
          <t>MON</t>
        </is>
      </c>
      <c r="AA7" s="12" t="inlineStr">
        <is>
          <t>TUE</t>
        </is>
      </c>
      <c r="AB7" s="12" t="inlineStr">
        <is>
          <t>WED</t>
        </is>
      </c>
      <c r="AC7" s="12" t="inlineStr">
        <is>
          <t>THU</t>
        </is>
      </c>
      <c r="AD7" s="12" t="inlineStr">
        <is>
          <t>FRI</t>
        </is>
      </c>
      <c r="AE7" s="12" t="inlineStr">
        <is>
          <t>SAT</t>
        </is>
      </c>
      <c r="AF7" s="12" t="inlineStr">
        <is>
          <t>SUN</t>
        </is>
      </c>
      <c r="AG7" s="12" t="inlineStr">
        <is>
          <t>MON</t>
        </is>
      </c>
      <c r="AH7" s="13" t="n"/>
    </row>
    <row r="8">
      <c r="A8" s="14" t="inlineStr">
        <is>
          <t>AUGUST 2026</t>
        </is>
      </c>
      <c r="B8" s="11" t="n"/>
      <c r="C8" s="15" t="n">
        <v>1</v>
      </c>
      <c r="D8" s="15" t="n">
        <v>2</v>
      </c>
      <c r="E8" s="15" t="n">
        <v>3</v>
      </c>
      <c r="F8" s="15" t="n">
        <v>4</v>
      </c>
      <c r="G8" s="15" t="n">
        <v>5</v>
      </c>
      <c r="H8" s="15" t="n">
        <v>6</v>
      </c>
      <c r="I8" s="15" t="n">
        <v>7</v>
      </c>
      <c r="J8" s="15" t="n">
        <v>8</v>
      </c>
      <c r="K8" s="15" t="n">
        <v>9</v>
      </c>
      <c r="L8" s="15" t="n">
        <v>10</v>
      </c>
      <c r="M8" s="15" t="n">
        <v>11</v>
      </c>
      <c r="N8" s="15" t="n">
        <v>12</v>
      </c>
      <c r="O8" s="15" t="n">
        <v>13</v>
      </c>
      <c r="P8" s="15" t="n">
        <v>14</v>
      </c>
      <c r="Q8" s="15" t="n">
        <v>15</v>
      </c>
      <c r="R8" s="15" t="n">
        <v>16</v>
      </c>
      <c r="S8" s="15" t="n">
        <v>17</v>
      </c>
      <c r="T8" s="15" t="n">
        <v>18</v>
      </c>
      <c r="U8" s="15" t="n">
        <v>19</v>
      </c>
      <c r="V8" s="15" t="n">
        <v>20</v>
      </c>
      <c r="W8" s="15" t="n">
        <v>21</v>
      </c>
      <c r="X8" s="15" t="n">
        <v>22</v>
      </c>
      <c r="Y8" s="15" t="n">
        <v>23</v>
      </c>
      <c r="Z8" s="15" t="n">
        <v>24</v>
      </c>
      <c r="AA8" s="15" t="n">
        <v>25</v>
      </c>
      <c r="AB8" s="15" t="n">
        <v>26</v>
      </c>
      <c r="AC8" s="15" t="n">
        <v>27</v>
      </c>
      <c r="AD8" s="15" t="n">
        <v>28</v>
      </c>
      <c r="AE8" s="15" t="n">
        <v>29</v>
      </c>
      <c r="AF8" s="15" t="n">
        <v>30</v>
      </c>
      <c r="AG8" s="15" t="inlineStr">
        <is>
          <t>TOTAL</t>
        </is>
      </c>
      <c r="AH8" s="13" t="n"/>
    </row>
    <row r="9">
      <c r="A9" s="11" t="n"/>
      <c r="B9" s="11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</row>
    <row r="10">
      <c r="A10" s="16" t="inlineStr">
        <is>
          <t>NO. OF TRUCKS
DISPATCHED</t>
        </is>
      </c>
      <c r="B10" s="17" t="inlineStr">
        <is>
          <t>DISPATCHER A</t>
        </is>
      </c>
      <c r="C10" s="13" t="n">
        <v>0</v>
      </c>
      <c r="D10" s="13" t="n">
        <v>0</v>
      </c>
      <c r="E10" s="13" t="n">
        <v>2</v>
      </c>
      <c r="F10" s="13" t="n">
        <v>1</v>
      </c>
      <c r="G10" s="13" t="n">
        <v>1</v>
      </c>
      <c r="H10" s="13" t="n">
        <v>1</v>
      </c>
      <c r="I10" s="13" t="n">
        <v>0</v>
      </c>
      <c r="J10" s="13" t="n">
        <v>4</v>
      </c>
      <c r="K10" s="13" t="n">
        <v>0</v>
      </c>
      <c r="L10" s="13" t="n">
        <v>4</v>
      </c>
      <c r="M10" s="13" t="n">
        <v>3</v>
      </c>
      <c r="N10" s="13" t="n">
        <v>0</v>
      </c>
      <c r="O10" s="13" t="n">
        <v>0</v>
      </c>
      <c r="P10" s="13" t="n">
        <v>0</v>
      </c>
      <c r="Q10" s="13" t="n">
        <v>1</v>
      </c>
      <c r="R10" s="13" t="n">
        <v>1</v>
      </c>
      <c r="S10" s="13" t="n">
        <v>4</v>
      </c>
      <c r="T10" s="13" t="n">
        <v>4</v>
      </c>
      <c r="U10" s="13" t="n">
        <v>0</v>
      </c>
      <c r="V10" s="13" t="n">
        <v>4</v>
      </c>
      <c r="W10" s="13" t="n">
        <v>1</v>
      </c>
      <c r="X10" s="13" t="n">
        <v>4</v>
      </c>
      <c r="Y10" s="13" t="n">
        <v>3</v>
      </c>
      <c r="Z10" s="13" t="n">
        <v>1</v>
      </c>
      <c r="AA10" s="13" t="n">
        <v>3</v>
      </c>
      <c r="AB10" s="13" t="n">
        <v>4</v>
      </c>
      <c r="AC10" s="13" t="n">
        <v>2</v>
      </c>
      <c r="AD10" s="13" t="n">
        <v>0</v>
      </c>
      <c r="AE10" s="13" t="n">
        <v>1</v>
      </c>
      <c r="AF10" s="13" t="n">
        <v>3</v>
      </c>
      <c r="AG10" s="13" t="n">
        <v>2</v>
      </c>
      <c r="AH10" s="18" t="n">
        <v>54</v>
      </c>
    </row>
    <row r="11">
      <c r="A11" s="11" t="n"/>
      <c r="B11" s="17" t="inlineStr">
        <is>
          <t>DISPATCHER B</t>
        </is>
      </c>
      <c r="C11" s="13" t="n">
        <v>2</v>
      </c>
      <c r="D11" s="13" t="n">
        <v>4</v>
      </c>
      <c r="E11" s="13" t="n">
        <v>1</v>
      </c>
      <c r="F11" s="13" t="n">
        <v>0</v>
      </c>
      <c r="G11" s="13" t="n">
        <v>0</v>
      </c>
      <c r="H11" s="13" t="n">
        <v>1</v>
      </c>
      <c r="I11" s="13" t="n">
        <v>2</v>
      </c>
      <c r="J11" s="13" t="n">
        <v>0</v>
      </c>
      <c r="K11" s="13" t="n">
        <v>1</v>
      </c>
      <c r="L11" s="13" t="n">
        <v>0</v>
      </c>
      <c r="M11" s="13" t="n">
        <v>3</v>
      </c>
      <c r="N11" s="13" t="n">
        <v>2</v>
      </c>
      <c r="O11" s="13" t="n">
        <v>3</v>
      </c>
      <c r="P11" s="13" t="n">
        <v>2</v>
      </c>
      <c r="Q11" s="13" t="n">
        <v>1</v>
      </c>
      <c r="R11" s="13" t="n">
        <v>2</v>
      </c>
      <c r="S11" s="13" t="n">
        <v>2</v>
      </c>
      <c r="T11" s="13" t="n">
        <v>1</v>
      </c>
      <c r="U11" s="13" t="n">
        <v>2</v>
      </c>
      <c r="V11" s="13" t="n">
        <v>0</v>
      </c>
      <c r="W11" s="13" t="n">
        <v>4</v>
      </c>
      <c r="X11" s="13" t="n">
        <v>1</v>
      </c>
      <c r="Y11" s="13" t="n">
        <v>4</v>
      </c>
      <c r="Z11" s="13" t="n">
        <v>1</v>
      </c>
      <c r="AA11" s="13" t="n">
        <v>1</v>
      </c>
      <c r="AB11" s="13" t="n">
        <v>3</v>
      </c>
      <c r="AC11" s="13" t="n">
        <v>3</v>
      </c>
      <c r="AD11" s="13" t="n">
        <v>2</v>
      </c>
      <c r="AE11" s="13" t="n">
        <v>4</v>
      </c>
      <c r="AF11" s="13" t="n">
        <v>1</v>
      </c>
      <c r="AG11" s="13" t="n">
        <v>2</v>
      </c>
      <c r="AH11" s="18" t="n">
        <v>55</v>
      </c>
    </row>
    <row r="12">
      <c r="A12" s="11" t="n"/>
      <c r="B12" s="11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</row>
    <row r="13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</row>
    <row r="14">
      <c r="A14" s="16" t="inlineStr">
        <is>
          <t>NO. OF UNITS
DISPATCHED</t>
        </is>
      </c>
      <c r="B14" s="17" t="inlineStr">
        <is>
          <t>DISPATCHER A</t>
        </is>
      </c>
      <c r="C14" s="13" t="n">
        <v>0</v>
      </c>
      <c r="D14" s="13" t="n">
        <v>0</v>
      </c>
      <c r="E14" s="13" t="n">
        <v>55</v>
      </c>
      <c r="F14" s="13" t="n">
        <v>39</v>
      </c>
      <c r="G14" s="13" t="n">
        <v>47</v>
      </c>
      <c r="H14" s="13" t="n">
        <v>63</v>
      </c>
      <c r="I14" s="13" t="n">
        <v>0</v>
      </c>
      <c r="J14" s="13" t="n">
        <v>33</v>
      </c>
      <c r="K14" s="13" t="n">
        <v>0</v>
      </c>
      <c r="L14" s="13" t="n">
        <v>31</v>
      </c>
      <c r="M14" s="13" t="n">
        <v>68</v>
      </c>
      <c r="N14" s="13" t="n">
        <v>0</v>
      </c>
      <c r="O14" s="13" t="n">
        <v>0</v>
      </c>
      <c r="P14" s="13" t="n">
        <v>0</v>
      </c>
      <c r="Q14" s="13" t="n">
        <v>32</v>
      </c>
      <c r="R14" s="13" t="n">
        <v>65</v>
      </c>
      <c r="S14" s="13" t="n">
        <v>64</v>
      </c>
      <c r="T14" s="13" t="n">
        <v>97</v>
      </c>
      <c r="U14" s="13" t="n">
        <v>0</v>
      </c>
      <c r="V14" s="13" t="n">
        <v>53</v>
      </c>
      <c r="W14" s="13" t="n">
        <v>25</v>
      </c>
      <c r="X14" s="13" t="n">
        <v>78</v>
      </c>
      <c r="Y14" s="13" t="n">
        <v>88</v>
      </c>
      <c r="Z14" s="13" t="n">
        <v>35</v>
      </c>
      <c r="AA14" s="13" t="n">
        <v>68</v>
      </c>
      <c r="AB14" s="13" t="n">
        <v>30</v>
      </c>
      <c r="AC14" s="13" t="n">
        <v>90</v>
      </c>
      <c r="AD14" s="13" t="n">
        <v>0</v>
      </c>
      <c r="AE14" s="13" t="n">
        <v>57</v>
      </c>
      <c r="AF14" s="13" t="n">
        <v>100</v>
      </c>
      <c r="AG14" s="13" t="n">
        <v>99</v>
      </c>
      <c r="AH14" s="18" t="n">
        <v>1317</v>
      </c>
    </row>
    <row r="15">
      <c r="A15" s="11" t="n"/>
      <c r="B15" s="17" t="inlineStr">
        <is>
          <t>DISPATCHER B</t>
        </is>
      </c>
      <c r="C15" s="13" t="n">
        <v>27</v>
      </c>
      <c r="D15" s="13" t="n">
        <v>49</v>
      </c>
      <c r="E15" s="13" t="n">
        <v>24</v>
      </c>
      <c r="F15" s="13" t="n">
        <v>0</v>
      </c>
      <c r="G15" s="13" t="n">
        <v>0</v>
      </c>
      <c r="H15" s="13" t="n">
        <v>60</v>
      </c>
      <c r="I15" s="13" t="n">
        <v>71</v>
      </c>
      <c r="J15" s="13" t="n">
        <v>0</v>
      </c>
      <c r="K15" s="13" t="n">
        <v>54</v>
      </c>
      <c r="L15" s="13" t="n">
        <v>0</v>
      </c>
      <c r="M15" s="13" t="n">
        <v>28</v>
      </c>
      <c r="N15" s="13" t="n">
        <v>47</v>
      </c>
      <c r="O15" s="13" t="n">
        <v>92</v>
      </c>
      <c r="P15" s="13" t="n">
        <v>60</v>
      </c>
      <c r="Q15" s="13" t="n">
        <v>47</v>
      </c>
      <c r="R15" s="13" t="n">
        <v>83</v>
      </c>
      <c r="S15" s="13" t="n">
        <v>70</v>
      </c>
      <c r="T15" s="13" t="n">
        <v>78</v>
      </c>
      <c r="U15" s="13" t="n">
        <v>38</v>
      </c>
      <c r="V15" s="13" t="n">
        <v>0</v>
      </c>
      <c r="W15" s="13" t="n">
        <v>53</v>
      </c>
      <c r="X15" s="13" t="n">
        <v>37</v>
      </c>
      <c r="Y15" s="13" t="n">
        <v>51</v>
      </c>
      <c r="Z15" s="13" t="n">
        <v>91</v>
      </c>
      <c r="AA15" s="13" t="n">
        <v>88</v>
      </c>
      <c r="AB15" s="13" t="n">
        <v>53</v>
      </c>
      <c r="AC15" s="13" t="n">
        <v>94</v>
      </c>
      <c r="AD15" s="13" t="n">
        <v>74</v>
      </c>
      <c r="AE15" s="13" t="n">
        <v>94</v>
      </c>
      <c r="AF15" s="13" t="n">
        <v>71</v>
      </c>
      <c r="AG15" s="13" t="n">
        <v>66</v>
      </c>
      <c r="AH15" s="18" t="n">
        <v>1600</v>
      </c>
    </row>
    <row r="16">
      <c r="A16" s="11" t="n"/>
      <c r="B16" s="11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</row>
    <row r="17">
      <c r="A17" s="11" t="n"/>
      <c r="B17" s="11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</row>
    <row r="18">
      <c r="A18" s="19" t="inlineStr">
        <is>
          <t>ACTUAL OUTBOUND PERFORMANCE</t>
        </is>
      </c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</row>
    <row r="19">
      <c r="A19" s="11" t="n"/>
      <c r="B19" s="11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</row>
    <row r="20">
      <c r="A20" s="20" t="inlineStr">
        <is>
          <t>ON-TIME DISPATCH</t>
        </is>
      </c>
      <c r="B20" s="11" t="inlineStr">
        <is>
          <t>DISPATCHER A</t>
        </is>
      </c>
      <c r="C20" s="13" t="n">
        <v>0</v>
      </c>
      <c r="D20" s="13" t="n">
        <v>0</v>
      </c>
      <c r="E20" s="13" t="n">
        <v>51</v>
      </c>
      <c r="F20" s="13" t="n">
        <v>39</v>
      </c>
      <c r="G20" s="13" t="n">
        <v>45</v>
      </c>
      <c r="H20" s="13" t="n">
        <v>58</v>
      </c>
      <c r="I20" s="13" t="n">
        <v>0</v>
      </c>
      <c r="J20" s="13" t="n">
        <v>30</v>
      </c>
      <c r="K20" s="13" t="n">
        <v>0</v>
      </c>
      <c r="L20" s="13" t="n">
        <v>29</v>
      </c>
      <c r="M20" s="13" t="n">
        <v>66</v>
      </c>
      <c r="N20" s="13" t="n">
        <v>0</v>
      </c>
      <c r="O20" s="13" t="n">
        <v>0</v>
      </c>
      <c r="P20" s="13" t="n">
        <v>0</v>
      </c>
      <c r="Q20" s="13" t="n">
        <v>31</v>
      </c>
      <c r="R20" s="13" t="n">
        <v>62</v>
      </c>
      <c r="S20" s="13" t="n">
        <v>59</v>
      </c>
      <c r="T20" s="13" t="n">
        <v>92</v>
      </c>
      <c r="U20" s="13" t="n">
        <v>0</v>
      </c>
      <c r="V20" s="13" t="n">
        <v>52</v>
      </c>
      <c r="W20" s="13" t="n">
        <v>24</v>
      </c>
      <c r="X20" s="13" t="n">
        <v>77</v>
      </c>
      <c r="Y20" s="13" t="n">
        <v>86</v>
      </c>
      <c r="Z20" s="13" t="n">
        <v>32</v>
      </c>
      <c r="AA20" s="13" t="n">
        <v>66</v>
      </c>
      <c r="AB20" s="13" t="n">
        <v>29</v>
      </c>
      <c r="AC20" s="13" t="n">
        <v>86</v>
      </c>
      <c r="AD20" s="13" t="n">
        <v>0</v>
      </c>
      <c r="AE20" s="13" t="n">
        <v>54</v>
      </c>
      <c r="AF20" s="13" t="n">
        <v>96</v>
      </c>
      <c r="AG20" s="13" t="n">
        <v>92</v>
      </c>
      <c r="AH20" s="18" t="n">
        <v>1256</v>
      </c>
    </row>
    <row r="21">
      <c r="A21" s="20" t="inlineStr">
        <is>
          <t>ON-TIME DISPATCH</t>
        </is>
      </c>
      <c r="B21" s="11" t="inlineStr">
        <is>
          <t>DISPATCHER B</t>
        </is>
      </c>
      <c r="C21" s="13" t="n">
        <v>26</v>
      </c>
      <c r="D21" s="13" t="n">
        <v>47</v>
      </c>
      <c r="E21" s="13" t="n">
        <v>24</v>
      </c>
      <c r="F21" s="13" t="n">
        <v>0</v>
      </c>
      <c r="G21" s="13" t="n">
        <v>0</v>
      </c>
      <c r="H21" s="13" t="n">
        <v>59</v>
      </c>
      <c r="I21" s="13" t="n">
        <v>67</v>
      </c>
      <c r="J21" s="13" t="n">
        <v>0</v>
      </c>
      <c r="K21" s="13" t="n">
        <v>52</v>
      </c>
      <c r="L21" s="13" t="n">
        <v>0</v>
      </c>
      <c r="M21" s="13" t="n">
        <v>26</v>
      </c>
      <c r="N21" s="13" t="n">
        <v>46</v>
      </c>
      <c r="O21" s="13" t="n">
        <v>90</v>
      </c>
      <c r="P21" s="13" t="n">
        <v>56</v>
      </c>
      <c r="Q21" s="13" t="n">
        <v>45</v>
      </c>
      <c r="R21" s="13" t="n">
        <v>80</v>
      </c>
      <c r="S21" s="13" t="n">
        <v>65</v>
      </c>
      <c r="T21" s="13" t="n">
        <v>76</v>
      </c>
      <c r="U21" s="13" t="n">
        <v>36</v>
      </c>
      <c r="V21" s="13" t="n">
        <v>0</v>
      </c>
      <c r="W21" s="13" t="n">
        <v>52</v>
      </c>
      <c r="X21" s="13" t="n">
        <v>35</v>
      </c>
      <c r="Y21" s="13" t="n">
        <v>47</v>
      </c>
      <c r="Z21" s="13" t="n">
        <v>86</v>
      </c>
      <c r="AA21" s="13" t="n">
        <v>81</v>
      </c>
      <c r="AB21" s="13" t="n">
        <v>52</v>
      </c>
      <c r="AC21" s="13" t="n">
        <v>92</v>
      </c>
      <c r="AD21" s="13" t="n">
        <v>72</v>
      </c>
      <c r="AE21" s="13" t="n">
        <v>89</v>
      </c>
      <c r="AF21" s="13" t="n">
        <v>66</v>
      </c>
      <c r="AG21" s="13" t="n">
        <v>65</v>
      </c>
      <c r="AH21" s="18" t="n">
        <v>1532</v>
      </c>
    </row>
    <row r="22">
      <c r="A22" s="21" t="inlineStr">
        <is>
          <t>DISPATCH ACCURACY</t>
        </is>
      </c>
      <c r="B22" s="11" t="inlineStr">
        <is>
          <t>DISPATCHER A</t>
        </is>
      </c>
      <c r="C22" s="13" t="n">
        <v>0</v>
      </c>
      <c r="D22" s="13" t="n">
        <v>0</v>
      </c>
      <c r="E22" s="13" t="n">
        <v>55</v>
      </c>
      <c r="F22" s="13" t="n">
        <v>38</v>
      </c>
      <c r="G22" s="13" t="n">
        <v>46</v>
      </c>
      <c r="H22" s="13" t="n">
        <v>61</v>
      </c>
      <c r="I22" s="13" t="n">
        <v>0</v>
      </c>
      <c r="J22" s="13" t="n">
        <v>33</v>
      </c>
      <c r="K22" s="13" t="n">
        <v>0</v>
      </c>
      <c r="L22" s="13" t="n">
        <v>31</v>
      </c>
      <c r="M22" s="13" t="n">
        <v>66</v>
      </c>
      <c r="N22" s="13" t="n">
        <v>0</v>
      </c>
      <c r="O22" s="13" t="n">
        <v>0</v>
      </c>
      <c r="P22" s="13" t="n">
        <v>0</v>
      </c>
      <c r="Q22" s="13" t="n">
        <v>31</v>
      </c>
      <c r="R22" s="13" t="n">
        <v>64</v>
      </c>
      <c r="S22" s="13" t="n">
        <v>62</v>
      </c>
      <c r="T22" s="13" t="n">
        <v>97</v>
      </c>
      <c r="U22" s="13" t="n">
        <v>0</v>
      </c>
      <c r="V22" s="13" t="n">
        <v>52</v>
      </c>
      <c r="W22" s="13" t="n">
        <v>24</v>
      </c>
      <c r="X22" s="13" t="n">
        <v>77</v>
      </c>
      <c r="Y22" s="13" t="n">
        <v>87</v>
      </c>
      <c r="Z22" s="13" t="n">
        <v>34</v>
      </c>
      <c r="AA22" s="13" t="n">
        <v>66</v>
      </c>
      <c r="AB22" s="13" t="n">
        <v>30</v>
      </c>
      <c r="AC22" s="13" t="n">
        <v>89</v>
      </c>
      <c r="AD22" s="13" t="n">
        <v>0</v>
      </c>
      <c r="AE22" s="13" t="n">
        <v>56</v>
      </c>
      <c r="AF22" s="13" t="n">
        <v>98</v>
      </c>
      <c r="AG22" s="13" t="n">
        <v>96</v>
      </c>
      <c r="AH22" s="18" t="n">
        <v>1293</v>
      </c>
    </row>
    <row r="23">
      <c r="A23" s="21" t="inlineStr">
        <is>
          <t>DISPATCH ACCURACY</t>
        </is>
      </c>
      <c r="B23" s="11" t="inlineStr">
        <is>
          <t>DISPATCHER B</t>
        </is>
      </c>
      <c r="C23" s="13" t="n">
        <v>26</v>
      </c>
      <c r="D23" s="13" t="n">
        <v>48</v>
      </c>
      <c r="E23" s="13" t="n">
        <v>24</v>
      </c>
      <c r="F23" s="13" t="n">
        <v>0</v>
      </c>
      <c r="G23" s="13" t="n">
        <v>0</v>
      </c>
      <c r="H23" s="13" t="n">
        <v>58</v>
      </c>
      <c r="I23" s="13" t="n">
        <v>69</v>
      </c>
      <c r="J23" s="13" t="n">
        <v>0</v>
      </c>
      <c r="K23" s="13" t="n">
        <v>52</v>
      </c>
      <c r="L23" s="13" t="n">
        <v>0</v>
      </c>
      <c r="M23" s="13" t="n">
        <v>28</v>
      </c>
      <c r="N23" s="13" t="n">
        <v>46</v>
      </c>
      <c r="O23" s="13" t="n">
        <v>92</v>
      </c>
      <c r="P23" s="13" t="n">
        <v>60</v>
      </c>
      <c r="Q23" s="13" t="n">
        <v>45</v>
      </c>
      <c r="R23" s="13" t="n">
        <v>80</v>
      </c>
      <c r="S23" s="13" t="n">
        <v>69</v>
      </c>
      <c r="T23" s="13" t="n">
        <v>76</v>
      </c>
      <c r="U23" s="13" t="n">
        <v>37</v>
      </c>
      <c r="V23" s="13" t="n">
        <v>0</v>
      </c>
      <c r="W23" s="13" t="n">
        <v>53</v>
      </c>
      <c r="X23" s="13" t="n">
        <v>36</v>
      </c>
      <c r="Y23" s="13" t="n">
        <v>50</v>
      </c>
      <c r="Z23" s="13" t="n">
        <v>90</v>
      </c>
      <c r="AA23" s="13" t="n">
        <v>87</v>
      </c>
      <c r="AB23" s="13" t="n">
        <v>51</v>
      </c>
      <c r="AC23" s="13" t="n">
        <v>91</v>
      </c>
      <c r="AD23" s="13" t="n">
        <v>72</v>
      </c>
      <c r="AE23" s="13" t="n">
        <v>92</v>
      </c>
      <c r="AF23" s="13" t="n">
        <v>69</v>
      </c>
      <c r="AG23" s="13" t="n">
        <v>65</v>
      </c>
      <c r="AH23" s="18" t="n">
        <v>1566</v>
      </c>
    </row>
    <row r="24">
      <c r="A24" s="22" t="inlineStr">
        <is>
          <t>ABORTED</t>
        </is>
      </c>
      <c r="B24" s="11" t="inlineStr">
        <is>
          <t>DISPATCHER A</t>
        </is>
      </c>
      <c r="C24" s="13" t="n">
        <v>0</v>
      </c>
      <c r="D24" s="13" t="n">
        <v>0</v>
      </c>
      <c r="E24" s="13" t="n">
        <v>3</v>
      </c>
      <c r="F24" s="13" t="n">
        <v>3</v>
      </c>
      <c r="G24" s="13" t="n">
        <v>0</v>
      </c>
      <c r="H24" s="13" t="n">
        <v>2</v>
      </c>
      <c r="I24" s="13" t="n">
        <v>0</v>
      </c>
      <c r="J24" s="13" t="n">
        <v>1</v>
      </c>
      <c r="K24" s="13" t="n">
        <v>0</v>
      </c>
      <c r="L24" s="13" t="n">
        <v>2</v>
      </c>
      <c r="M24" s="13" t="n">
        <v>1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2</v>
      </c>
      <c r="S24" s="13" t="n">
        <v>2</v>
      </c>
      <c r="T24" s="13" t="n">
        <v>2</v>
      </c>
      <c r="U24" s="13" t="n">
        <v>0</v>
      </c>
      <c r="V24" s="13" t="n">
        <v>1</v>
      </c>
      <c r="W24" s="13" t="n">
        <v>2</v>
      </c>
      <c r="X24" s="13" t="n">
        <v>2</v>
      </c>
      <c r="Y24" s="13" t="n">
        <v>5</v>
      </c>
      <c r="Z24" s="13" t="n">
        <v>1</v>
      </c>
      <c r="AA24" s="13" t="n">
        <v>0</v>
      </c>
      <c r="AB24" s="13" t="n">
        <v>2</v>
      </c>
      <c r="AC24" s="13" t="n">
        <v>5</v>
      </c>
      <c r="AD24" s="13" t="n">
        <v>0</v>
      </c>
      <c r="AE24" s="13" t="n">
        <v>4</v>
      </c>
      <c r="AF24" s="13" t="n">
        <v>6</v>
      </c>
      <c r="AG24" s="13" t="n">
        <v>6</v>
      </c>
      <c r="AH24" s="18" t="n">
        <v>52</v>
      </c>
    </row>
    <row r="25">
      <c r="A25" s="22" t="inlineStr">
        <is>
          <t>ABORTED</t>
        </is>
      </c>
      <c r="B25" s="11" t="inlineStr">
        <is>
          <t>DISPATCHER B</t>
        </is>
      </c>
      <c r="C25" s="13" t="n">
        <v>0</v>
      </c>
      <c r="D25" s="13" t="n">
        <v>2</v>
      </c>
      <c r="E25" s="13" t="n">
        <v>0</v>
      </c>
      <c r="F25" s="13" t="n">
        <v>0</v>
      </c>
      <c r="G25" s="13" t="n">
        <v>0</v>
      </c>
      <c r="H25" s="13" t="n">
        <v>2</v>
      </c>
      <c r="I25" s="13" t="n">
        <v>0</v>
      </c>
      <c r="J25" s="13" t="n">
        <v>0</v>
      </c>
      <c r="K25" s="13" t="n">
        <v>1</v>
      </c>
      <c r="L25" s="13" t="n">
        <v>0</v>
      </c>
      <c r="M25" s="13" t="n">
        <v>2</v>
      </c>
      <c r="N25" s="13" t="n">
        <v>1</v>
      </c>
      <c r="O25" s="13" t="n">
        <v>5</v>
      </c>
      <c r="P25" s="13" t="n">
        <v>2</v>
      </c>
      <c r="Q25" s="13" t="n">
        <v>1</v>
      </c>
      <c r="R25" s="13" t="n">
        <v>6</v>
      </c>
      <c r="S25" s="13" t="n">
        <v>5</v>
      </c>
      <c r="T25" s="13" t="n">
        <v>3</v>
      </c>
      <c r="U25" s="13" t="n">
        <v>2</v>
      </c>
      <c r="V25" s="13" t="n">
        <v>0</v>
      </c>
      <c r="W25" s="13" t="n">
        <v>1</v>
      </c>
      <c r="X25" s="13" t="n">
        <v>1</v>
      </c>
      <c r="Y25" s="13" t="n">
        <v>3</v>
      </c>
      <c r="Z25" s="13" t="n">
        <v>4</v>
      </c>
      <c r="AA25" s="13" t="n">
        <v>3</v>
      </c>
      <c r="AB25" s="13" t="n">
        <v>3</v>
      </c>
      <c r="AC25" s="13" t="n">
        <v>0</v>
      </c>
      <c r="AD25" s="13" t="n">
        <v>3</v>
      </c>
      <c r="AE25" s="13" t="n">
        <v>3</v>
      </c>
      <c r="AF25" s="13" t="n">
        <v>4</v>
      </c>
      <c r="AG25" s="13" t="n">
        <v>1</v>
      </c>
      <c r="AH25" s="18" t="n">
        <v>58</v>
      </c>
    </row>
    <row r="27">
      <c r="A27" s="23" t="inlineStr">
        <is>
          <t>MONTHLY KPI SUMMARY</t>
        </is>
      </c>
    </row>
    <row r="28">
      <c r="A28" s="4" t="inlineStr">
        <is>
          <t>On-time dispatch rate</t>
        </is>
      </c>
      <c r="B28" s="24">
        <f>SUM(C20:AG21)/SUM(C14:AG15)</f>
        <v/>
      </c>
    </row>
    <row r="29">
      <c r="A29" s="4" t="inlineStr">
        <is>
          <t>Dispatch accuracy rate</t>
        </is>
      </c>
      <c r="B29" s="24">
        <f>SUM(C22:AG23)/SUM(C14:AG15)</f>
        <v/>
      </c>
    </row>
    <row r="30">
      <c r="A30" s="4" t="inlineStr">
        <is>
          <t>Aborted rate</t>
        </is>
      </c>
      <c r="B30" s="24">
        <f>SUM(C24:AG25)/SUM(C14:AG15)</f>
        <v/>
      </c>
    </row>
    <row r="32">
      <c r="A32" s="25" t="inlineStr">
        <is>
          <t>Portfolio note: This dashboard is an original sample created for Cassandra Balaguer's VA portfolio. All names, references, quantities, and results are fictional.</t>
        </is>
      </c>
    </row>
    <row r="33"/>
  </sheetData>
  <mergeCells count="13">
    <mergeCell ref="S4:Z6"/>
    <mergeCell ref="B30:C30"/>
    <mergeCell ref="A1:AG2"/>
    <mergeCell ref="A18:AG18"/>
    <mergeCell ref="B29:C29"/>
    <mergeCell ref="A32:G33"/>
    <mergeCell ref="A27:F27"/>
    <mergeCell ref="B28:C28"/>
    <mergeCell ref="A10:A11"/>
    <mergeCell ref="A8:B8"/>
    <mergeCell ref="J4:Q6"/>
    <mergeCell ref="A14:A15"/>
    <mergeCell ref="A4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3" customWidth="1" min="4" max="4"/>
    <col width="18" customWidth="1" min="5" max="5"/>
    <col width="16" customWidth="1" min="6" max="6"/>
    <col width="18" customWidth="1" min="7" max="7"/>
    <col width="8" customWidth="1" min="8" max="8"/>
    <col width="17" customWidth="1" min="9" max="9"/>
    <col width="16" customWidth="1" min="10" max="10"/>
    <col width="14" customWidth="1" min="11" max="11"/>
    <col width="28" customWidth="1" min="12" max="12"/>
    <col width="28" customWidth="1" min="13" max="13"/>
    <col width="26" customWidth="1" min="14" max="14"/>
  </cols>
  <sheetData>
    <row r="1">
      <c r="A1" s="1" t="inlineStr">
        <is>
          <t>Dispatch Date</t>
        </is>
      </c>
      <c r="B1" s="1" t="inlineStr">
        <is>
          <t>Order / Unit ID</t>
        </is>
      </c>
      <c r="C1" s="1" t="inlineStr">
        <is>
          <t>Coordinator</t>
        </is>
      </c>
      <c r="D1" s="1" t="inlineStr">
        <is>
          <t>Pick Code</t>
        </is>
      </c>
      <c r="E1" s="1" t="inlineStr">
        <is>
          <t>DR Reference</t>
        </is>
      </c>
      <c r="F1" s="1" t="inlineStr">
        <is>
          <t>Material Code</t>
        </is>
      </c>
      <c r="G1" s="1" t="inlineStr">
        <is>
          <t>Serial / Unit No.</t>
        </is>
      </c>
      <c r="H1" s="1" t="inlineStr">
        <is>
          <t>Qty</t>
        </is>
      </c>
      <c r="I1" s="1" t="inlineStr">
        <is>
          <t>Driver / Helper</t>
        </is>
      </c>
      <c r="J1" s="1" t="inlineStr">
        <is>
          <t>Truck Type</t>
        </is>
      </c>
      <c r="K1" s="1" t="inlineStr">
        <is>
          <t>Status</t>
        </is>
      </c>
      <c r="L1" s="1" t="inlineStr">
        <is>
          <t>Issue / Reason</t>
        </is>
      </c>
      <c r="M1" s="1" t="inlineStr">
        <is>
          <t>Follow-up Action</t>
        </is>
      </c>
      <c r="N1" s="1" t="inlineStr">
        <is>
          <t>Remarks</t>
        </is>
      </c>
    </row>
    <row r="2">
      <c r="A2" s="2" t="inlineStr">
        <is>
          <t>2026-08-22</t>
        </is>
      </c>
      <c r="B2" s="2" t="inlineStr">
        <is>
          <t>UNIT-1001</t>
        </is>
      </c>
      <c r="C2" s="2" t="inlineStr">
        <is>
          <t>Cassandra</t>
        </is>
      </c>
      <c r="D2" s="2" t="inlineStr">
        <is>
          <t>PK-001</t>
        </is>
      </c>
      <c r="E2" s="2" t="inlineStr">
        <is>
          <t>DR-260822-01</t>
        </is>
      </c>
      <c r="F2" s="2" t="inlineStr">
        <is>
          <t>MAT-AX01</t>
        </is>
      </c>
      <c r="G2" s="2" t="inlineStr">
        <is>
          <t>SN-10001</t>
        </is>
      </c>
      <c r="H2" s="2" t="n">
        <v>1</v>
      </c>
      <c r="I2" s="2" t="inlineStr">
        <is>
          <t>Driver A</t>
        </is>
      </c>
      <c r="J2" s="2" t="inlineStr">
        <is>
          <t>10W Truck</t>
        </is>
      </c>
      <c r="K2" s="2" t="inlineStr">
        <is>
          <t>Completed</t>
        </is>
      </c>
      <c r="L2" s="2" t="inlineStr">
        <is>
          <t>-</t>
        </is>
      </c>
      <c r="M2" s="2" t="inlineStr">
        <is>
          <t>Closed</t>
        </is>
      </c>
      <c r="N2" s="2" t="inlineStr">
        <is>
          <t>Dispatched successfully</t>
        </is>
      </c>
    </row>
    <row r="3">
      <c r="A3" s="2" t="inlineStr">
        <is>
          <t>2026-08-22</t>
        </is>
      </c>
      <c r="B3" s="2" t="inlineStr">
        <is>
          <t>UNIT-1002</t>
        </is>
      </c>
      <c r="C3" s="2" t="inlineStr">
        <is>
          <t>Cassandra</t>
        </is>
      </c>
      <c r="D3" s="2" t="inlineStr">
        <is>
          <t>PK-002</t>
        </is>
      </c>
      <c r="E3" s="2" t="inlineStr">
        <is>
          <t>DR-260822-02</t>
        </is>
      </c>
      <c r="F3" s="2" t="inlineStr">
        <is>
          <t>MAT-AX02</t>
        </is>
      </c>
      <c r="G3" s="2" t="inlineStr">
        <is>
          <t>SN-10002</t>
        </is>
      </c>
      <c r="H3" s="2" t="n">
        <v>1</v>
      </c>
      <c r="I3" s="2" t="inlineStr">
        <is>
          <t>Driver B</t>
        </is>
      </c>
      <c r="J3" s="2" t="inlineStr">
        <is>
          <t>6W Truck</t>
        </is>
      </c>
      <c r="K3" s="2" t="inlineStr">
        <is>
          <t>Pending</t>
        </is>
      </c>
      <c r="L3" s="2" t="inlineStr">
        <is>
          <t>Unit hard to locate</t>
        </is>
      </c>
      <c r="M3" s="2" t="inlineStr">
        <is>
          <t>Coordinate with warehouse</t>
        </is>
      </c>
      <c r="N3" s="2" t="inlineStr">
        <is>
          <t>Monitoring</t>
        </is>
      </c>
    </row>
    <row r="4">
      <c r="A4" s="2" t="inlineStr">
        <is>
          <t>2026-08-22</t>
        </is>
      </c>
      <c r="B4" s="2" t="inlineStr">
        <is>
          <t>UNIT-1003</t>
        </is>
      </c>
      <c r="C4" s="2" t="inlineStr">
        <is>
          <t>Cassandra</t>
        </is>
      </c>
      <c r="D4" s="2" t="inlineStr">
        <is>
          <t>PK-003</t>
        </is>
      </c>
      <c r="E4" s="2" t="inlineStr">
        <is>
          <t>DR-260822-03</t>
        </is>
      </c>
      <c r="F4" s="2" t="inlineStr">
        <is>
          <t>MAT-AX03</t>
        </is>
      </c>
      <c r="G4" s="2" t="inlineStr">
        <is>
          <t>SN-10003</t>
        </is>
      </c>
      <c r="H4" s="2" t="n">
        <v>1</v>
      </c>
      <c r="I4" s="2" t="inlineStr">
        <is>
          <t>Driver C</t>
        </is>
      </c>
      <c r="J4" s="2" t="inlineStr">
        <is>
          <t>4W Truck</t>
        </is>
      </c>
      <c r="K4" s="2" t="inlineStr">
        <is>
          <t>Aborted</t>
        </is>
      </c>
      <c r="L4" s="2" t="inlineStr">
        <is>
          <t>Customer unavailable</t>
        </is>
      </c>
      <c r="M4" s="2" t="inlineStr">
        <is>
          <t>Reschedule delivery</t>
        </is>
      </c>
      <c r="N4" s="2" t="inlineStr">
        <is>
          <t>For retry</t>
        </is>
      </c>
    </row>
    <row r="5">
      <c r="A5" s="2" t="inlineStr">
        <is>
          <t>2026-08-22</t>
        </is>
      </c>
      <c r="B5" s="2" t="inlineStr">
        <is>
          <t>UNIT-1004</t>
        </is>
      </c>
      <c r="C5" s="2" t="inlineStr">
        <is>
          <t>Cassandra</t>
        </is>
      </c>
      <c r="D5" s="2" t="inlineStr">
        <is>
          <t>PK-004</t>
        </is>
      </c>
      <c r="E5" s="2" t="inlineStr">
        <is>
          <t>DR-260822-04</t>
        </is>
      </c>
      <c r="F5" s="2" t="inlineStr">
        <is>
          <t>MAT-AX04</t>
        </is>
      </c>
      <c r="G5" s="2" t="inlineStr">
        <is>
          <t>SN-10004</t>
        </is>
      </c>
      <c r="H5" s="2" t="n">
        <v>2</v>
      </c>
      <c r="I5" s="2" t="inlineStr">
        <is>
          <t>Driver D</t>
        </is>
      </c>
      <c r="J5" s="2" t="inlineStr">
        <is>
          <t>10W Truck</t>
        </is>
      </c>
      <c r="K5" s="2" t="inlineStr">
        <is>
          <t>Completed</t>
        </is>
      </c>
      <c r="L5" s="2" t="inlineStr">
        <is>
          <t>-</t>
        </is>
      </c>
      <c r="M5" s="2" t="inlineStr">
        <is>
          <t>Closed</t>
        </is>
      </c>
      <c r="N5" s="2" t="inlineStr">
        <is>
          <t>Completed</t>
        </is>
      </c>
    </row>
    <row r="6">
      <c r="A6" s="2" t="inlineStr">
        <is>
          <t>2026-08-22</t>
        </is>
      </c>
      <c r="B6" s="2" t="inlineStr">
        <is>
          <t>UNIT-1005</t>
        </is>
      </c>
      <c r="C6" s="2" t="inlineStr">
        <is>
          <t>Cassandra</t>
        </is>
      </c>
      <c r="D6" s="2" t="inlineStr">
        <is>
          <t>PK-005</t>
        </is>
      </c>
      <c r="E6" s="2" t="inlineStr">
        <is>
          <t>DR-260822-05</t>
        </is>
      </c>
      <c r="F6" s="2" t="inlineStr">
        <is>
          <t>MAT-AX05</t>
        </is>
      </c>
      <c r="G6" s="2" t="inlineStr">
        <is>
          <t>SN-10005</t>
        </is>
      </c>
      <c r="H6" s="2" t="n">
        <v>1</v>
      </c>
      <c r="I6" s="2" t="inlineStr">
        <is>
          <t>Driver E</t>
        </is>
      </c>
      <c r="J6" s="2" t="inlineStr">
        <is>
          <t>6W Truck</t>
        </is>
      </c>
      <c r="K6" s="2" t="inlineStr">
        <is>
          <t>Pending</t>
        </is>
      </c>
      <c r="L6" s="2" t="inlineStr">
        <is>
          <t>Document issue</t>
        </is>
      </c>
      <c r="M6" s="2" t="inlineStr">
        <is>
          <t>Follow up with operations</t>
        </is>
      </c>
      <c r="N6" s="2" t="inlineStr">
        <is>
          <t>Monitoring</t>
        </is>
      </c>
    </row>
    <row r="7">
      <c r="A7" s="2" t="inlineStr">
        <is>
          <t>2026-08-22</t>
        </is>
      </c>
      <c r="B7" s="2" t="inlineStr">
        <is>
          <t>UNIT-1006</t>
        </is>
      </c>
      <c r="C7" s="2" t="inlineStr">
        <is>
          <t>Cassandra</t>
        </is>
      </c>
      <c r="D7" s="2" t="inlineStr">
        <is>
          <t>PK-006</t>
        </is>
      </c>
      <c r="E7" s="2" t="inlineStr">
        <is>
          <t>DR-260822-06</t>
        </is>
      </c>
      <c r="F7" s="2" t="inlineStr">
        <is>
          <t>MAT-AX06</t>
        </is>
      </c>
      <c r="G7" s="2" t="inlineStr">
        <is>
          <t>SN-10006</t>
        </is>
      </c>
      <c r="H7" s="2" t="n">
        <v>1</v>
      </c>
      <c r="I7" s="2" t="inlineStr">
        <is>
          <t>Driver A</t>
        </is>
      </c>
      <c r="J7" s="2" t="inlineStr">
        <is>
          <t>4W Truck</t>
        </is>
      </c>
      <c r="K7" s="2" t="inlineStr">
        <is>
          <t>Completed</t>
        </is>
      </c>
      <c r="L7" s="2" t="inlineStr">
        <is>
          <t>-</t>
        </is>
      </c>
      <c r="M7" s="2" t="inlineStr">
        <is>
          <t>Closed</t>
        </is>
      </c>
      <c r="N7" s="2" t="inlineStr">
        <is>
          <t>Completed</t>
        </is>
      </c>
    </row>
    <row r="8">
      <c r="A8" s="2" t="inlineStr">
        <is>
          <t>2026-08-22</t>
        </is>
      </c>
      <c r="B8" s="2" t="inlineStr">
        <is>
          <t>UNIT-1007</t>
        </is>
      </c>
      <c r="C8" s="2" t="inlineStr">
        <is>
          <t>Cassandra</t>
        </is>
      </c>
      <c r="D8" s="2" t="inlineStr">
        <is>
          <t>PK-007</t>
        </is>
      </c>
      <c r="E8" s="2" t="inlineStr">
        <is>
          <t>DR-260822-07</t>
        </is>
      </c>
      <c r="F8" s="2" t="inlineStr">
        <is>
          <t>MAT-AX07</t>
        </is>
      </c>
      <c r="G8" s="2" t="inlineStr">
        <is>
          <t>SN-10007</t>
        </is>
      </c>
      <c r="H8" s="2" t="n">
        <v>1</v>
      </c>
      <c r="I8" s="2" t="inlineStr">
        <is>
          <t>Driver F</t>
        </is>
      </c>
      <c r="J8" s="2" t="inlineStr">
        <is>
          <t>10W Truck</t>
        </is>
      </c>
      <c r="K8" s="2" t="inlineStr">
        <is>
          <t>Aborted</t>
        </is>
      </c>
      <c r="L8" s="2" t="inlineStr">
        <is>
          <t>Vehicle issue</t>
        </is>
      </c>
      <c r="M8" s="2" t="inlineStr">
        <is>
          <t>Coordinate new schedule</t>
        </is>
      </c>
      <c r="N8" s="2" t="inlineStr">
        <is>
          <t>For retry</t>
        </is>
      </c>
    </row>
    <row r="9">
      <c r="A9" s="2" t="inlineStr">
        <is>
          <t>2026-08-22</t>
        </is>
      </c>
      <c r="B9" s="2" t="inlineStr">
        <is>
          <t>UNIT-1008</t>
        </is>
      </c>
      <c r="C9" s="2" t="inlineStr">
        <is>
          <t>Cassandra</t>
        </is>
      </c>
      <c r="D9" s="2" t="inlineStr">
        <is>
          <t>PK-008</t>
        </is>
      </c>
      <c r="E9" s="2" t="inlineStr">
        <is>
          <t>DR-260822-08</t>
        </is>
      </c>
      <c r="F9" s="2" t="inlineStr">
        <is>
          <t>MAT-AX08</t>
        </is>
      </c>
      <c r="G9" s="2" t="inlineStr">
        <is>
          <t>SN-10008</t>
        </is>
      </c>
      <c r="H9" s="2" t="n">
        <v>1</v>
      </c>
      <c r="I9" s="2" t="inlineStr">
        <is>
          <t>Driver B</t>
        </is>
      </c>
      <c r="J9" s="2" t="inlineStr">
        <is>
          <t>6W Truck</t>
        </is>
      </c>
      <c r="K9" s="2" t="inlineStr">
        <is>
          <t>Completed</t>
        </is>
      </c>
      <c r="L9" s="2" t="inlineStr">
        <is>
          <t>-</t>
        </is>
      </c>
      <c r="M9" s="2" t="inlineStr">
        <is>
          <t>Closed</t>
        </is>
      </c>
      <c r="N9" s="2" t="inlineStr">
        <is>
          <t>Completed</t>
        </is>
      </c>
    </row>
    <row r="10">
      <c r="A10" s="2" t="inlineStr">
        <is>
          <t>2026-08-22</t>
        </is>
      </c>
      <c r="B10" s="2" t="inlineStr">
        <is>
          <t>UNIT-1009</t>
        </is>
      </c>
      <c r="C10" s="2" t="inlineStr">
        <is>
          <t>Cassandra</t>
        </is>
      </c>
      <c r="D10" s="2" t="inlineStr">
        <is>
          <t>PK-009</t>
        </is>
      </c>
      <c r="E10" s="2" t="inlineStr">
        <is>
          <t>DR-260822-09</t>
        </is>
      </c>
      <c r="F10" s="2" t="inlineStr">
        <is>
          <t>MAT-AX09</t>
        </is>
      </c>
      <c r="G10" s="2" t="inlineStr">
        <is>
          <t>SN-10009</t>
        </is>
      </c>
      <c r="H10" s="2" t="n">
        <v>1</v>
      </c>
      <c r="I10" s="2" t="inlineStr">
        <is>
          <t>Driver C</t>
        </is>
      </c>
      <c r="J10" s="2" t="inlineStr">
        <is>
          <t>4W Truck</t>
        </is>
      </c>
      <c r="K10" s="2" t="inlineStr">
        <is>
          <t>Pending</t>
        </is>
      </c>
      <c r="L10" s="2" t="inlineStr">
        <is>
          <t>Unit not found</t>
        </is>
      </c>
      <c r="M10" s="2" t="inlineStr">
        <is>
          <t>Inventory checking</t>
        </is>
      </c>
      <c r="N10" s="2" t="inlineStr">
        <is>
          <t>Searching</t>
        </is>
      </c>
    </row>
    <row r="11">
      <c r="A11" s="2" t="inlineStr">
        <is>
          <t>2026-08-22</t>
        </is>
      </c>
      <c r="B11" s="2" t="inlineStr">
        <is>
          <t>UNIT-1010</t>
        </is>
      </c>
      <c r="C11" s="2" t="inlineStr">
        <is>
          <t>Cassandra</t>
        </is>
      </c>
      <c r="D11" s="2" t="inlineStr">
        <is>
          <t>PK-010</t>
        </is>
      </c>
      <c r="E11" s="2" t="inlineStr">
        <is>
          <t>DR-260822-10</t>
        </is>
      </c>
      <c r="F11" s="2" t="inlineStr">
        <is>
          <t>MAT-AX10</t>
        </is>
      </c>
      <c r="G11" s="2" t="inlineStr">
        <is>
          <t>SN-10010</t>
        </is>
      </c>
      <c r="H11" s="2" t="n">
        <v>1</v>
      </c>
      <c r="I11" s="2" t="inlineStr">
        <is>
          <t>Driver D</t>
        </is>
      </c>
      <c r="J11" s="2" t="inlineStr">
        <is>
          <t>10W Truck</t>
        </is>
      </c>
      <c r="K11" s="2" t="inlineStr">
        <is>
          <t>Completed</t>
        </is>
      </c>
      <c r="L11" s="2" t="inlineStr">
        <is>
          <t>-</t>
        </is>
      </c>
      <c r="M11" s="2" t="inlineStr">
        <is>
          <t>Closed</t>
        </is>
      </c>
      <c r="N11" s="2" t="inlineStr">
        <is>
          <t>Completed</t>
        </is>
      </c>
    </row>
    <row r="12">
      <c r="A12" s="2" t="inlineStr">
        <is>
          <t>2026-08-22</t>
        </is>
      </c>
      <c r="B12" s="2" t="inlineStr">
        <is>
          <t>UNIT-1011</t>
        </is>
      </c>
      <c r="C12" s="2" t="inlineStr">
        <is>
          <t>Cassandra</t>
        </is>
      </c>
      <c r="D12" s="2" t="inlineStr">
        <is>
          <t>PK-011</t>
        </is>
      </c>
      <c r="E12" s="2" t="inlineStr">
        <is>
          <t>DR-260822-11</t>
        </is>
      </c>
      <c r="F12" s="2" t="inlineStr">
        <is>
          <t>MAT-AX11</t>
        </is>
      </c>
      <c r="G12" s="2" t="inlineStr">
        <is>
          <t>SN-10011</t>
        </is>
      </c>
      <c r="H12" s="2" t="n">
        <v>1</v>
      </c>
      <c r="I12" s="2" t="inlineStr">
        <is>
          <t>Driver E</t>
        </is>
      </c>
      <c r="J12" s="2" t="inlineStr">
        <is>
          <t>6W Truck</t>
        </is>
      </c>
      <c r="K12" s="2" t="inlineStr">
        <is>
          <t>Completed</t>
        </is>
      </c>
      <c r="L12" s="2" t="inlineStr">
        <is>
          <t>-</t>
        </is>
      </c>
      <c r="M12" s="2" t="inlineStr">
        <is>
          <t>Closed</t>
        </is>
      </c>
      <c r="N12" s="2" t="inlineStr">
        <is>
          <t>Completed</t>
        </is>
      </c>
    </row>
    <row r="13">
      <c r="A13" s="2" t="inlineStr">
        <is>
          <t>2026-08-22</t>
        </is>
      </c>
      <c r="B13" s="2" t="inlineStr">
        <is>
          <t>UNIT-1012</t>
        </is>
      </c>
      <c r="C13" s="2" t="inlineStr">
        <is>
          <t>Cassandra</t>
        </is>
      </c>
      <c r="D13" s="2" t="inlineStr">
        <is>
          <t>PK-012</t>
        </is>
      </c>
      <c r="E13" s="2" t="inlineStr">
        <is>
          <t>DR-260822-12</t>
        </is>
      </c>
      <c r="F13" s="2" t="inlineStr">
        <is>
          <t>MAT-AX12</t>
        </is>
      </c>
      <c r="G13" s="2" t="inlineStr">
        <is>
          <t>SN-10012</t>
        </is>
      </c>
      <c r="H13" s="2" t="n">
        <v>1</v>
      </c>
      <c r="I13" s="2" t="inlineStr">
        <is>
          <t>Driver F</t>
        </is>
      </c>
      <c r="J13" s="2" t="inlineStr">
        <is>
          <t>4W Truck</t>
        </is>
      </c>
      <c r="K13" s="2" t="inlineStr">
        <is>
          <t>Pending</t>
        </is>
      </c>
      <c r="L13" s="2" t="inlineStr">
        <is>
          <t>Loading delay</t>
        </is>
      </c>
      <c r="M13" s="2" t="inlineStr">
        <is>
          <t>Follow up with dispatch</t>
        </is>
      </c>
      <c r="N13" s="2" t="inlineStr">
        <is>
          <t>Monitoring</t>
        </is>
      </c>
    </row>
  </sheetData>
  <autoFilter ref="A1:N13"/>
  <conditionalFormatting sqref="K2:K13">
    <cfRule type="expression" priority="1">
      <formula>K2="Pending"</formula>
    </cfRule>
    <cfRule type="expression" priority="2">
      <formula>K2="Aborted"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3" t="inlineStr">
        <is>
          <t>DISPATCH DAILY MONITORING — KPI SUMMARY</t>
        </is>
      </c>
    </row>
    <row r="3">
      <c r="A3" s="4" t="inlineStr">
        <is>
          <t>Total Units</t>
        </is>
      </c>
      <c r="B3">
        <f>SUM('Daily Monitoring'!H2:H13)</f>
        <v/>
      </c>
    </row>
    <row r="4">
      <c r="A4" s="4" t="inlineStr">
        <is>
          <t>Completed Units</t>
        </is>
      </c>
      <c r="B4">
        <f>SUMIF('Daily Monitoring'!K2:K13,"Completed",'Daily Monitoring'!H2:H13)</f>
        <v/>
      </c>
    </row>
    <row r="5">
      <c r="A5" s="4" t="inlineStr">
        <is>
          <t>Pending Units</t>
        </is>
      </c>
      <c r="B5">
        <f>SUMIF('Daily Monitoring'!K2:K13,"Pending",'Daily Monitoring'!H2:H13)</f>
        <v/>
      </c>
    </row>
    <row r="6">
      <c r="A6" s="4" t="inlineStr">
        <is>
          <t>Aborted Units</t>
        </is>
      </c>
      <c r="B6">
        <f>SUMIF('Daily Monitoring'!K2:K13,"Aborted",'Daily Monitoring'!H2:H13)</f>
        <v/>
      </c>
    </row>
    <row r="7">
      <c r="A7" s="4" t="inlineStr">
        <is>
          <t>Completion Rate</t>
        </is>
      </c>
      <c r="B7" s="5">
        <f>B3/B2</f>
        <v/>
      </c>
    </row>
    <row r="9">
      <c r="A9" s="4" t="inlineStr">
        <is>
          <t>Portfolio Note</t>
        </is>
      </c>
      <c r="B9" s="6" t="inlineStr">
        <is>
          <t>Original sample created for Cassandra Balaguer's VA portfolio. All data is fictional and contains no confidential company information.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2026-08-23T02:00:17Z</dcterms:created>
  <dcterms:modified xmlns:dcterms="http://purl.org/dc/terms/" xmlns:xsi="http://www.w3.org/2001/XMLSchema-instance" xsi:type="dcterms:W3CDTF">2026-08-23T02:03:07Z</dcterms:modified>
</cp:coreProperties>
</file>