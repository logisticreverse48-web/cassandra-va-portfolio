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und KPI" sheetId="1" state="visible" r:id="rId1"/>
    <sheet xmlns:r="http://schemas.openxmlformats.org/officeDocument/2006/relationships" name="KPI 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Inbound KPI Overview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'KPI Calculations'!$A$5:$A$8</f>
            </numRef>
          </cat>
          <val>
            <numRef>
              <f>'KPI Calculations'!$B$5:$B$8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boundKPIData" displayName="InboundKPIData" ref="A6:N18" headerRowCount="1">
  <autoFilter ref="A6:N18"/>
  <tableColumns count="14">
    <tableColumn id="1" name="Date"/>
    <tableColumn id="2" name="Shift"/>
    <tableColumn id="3" name="Inbound Ref"/>
    <tableColumn id="4" name="Vehicle Type"/>
    <tableColumn id="5" name="Expected Units"/>
    <tableColumn id="6" name="Received Units"/>
    <tableColumn id="7" name="On-Time"/>
    <tableColumn id="8" name="Cycle Time (min)"/>
    <tableColumn id="9" name="Accurate Units"/>
    <tableColumn id="10" name="Damaged Units"/>
    <tableColumn id="11" name="Report Sent"/>
    <tableColumn id="12" name="Issue / Reason"/>
    <tableColumn id="13" name="Action / Follow-up"/>
    <tableColumn id="14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5" customWidth="1" min="5" max="5"/>
    <col width="15" customWidth="1" min="6" max="6"/>
    <col width="12" customWidth="1" min="7" max="7"/>
    <col width="18" customWidth="1" min="8" max="8"/>
    <col width="16" customWidth="1" min="9" max="9"/>
    <col width="15" customWidth="1" min="10" max="10"/>
    <col width="14" customWidth="1" min="11" max="11"/>
    <col width="25" customWidth="1" min="12" max="12"/>
    <col width="25" customWidth="1" min="13" max="13"/>
    <col width="22" customWidth="1" min="14" max="14"/>
  </cols>
  <sheetData>
    <row r="1">
      <c r="A1" s="1" t="inlineStr">
        <is>
          <t>INBOUND KPI — AUGUST 2026</t>
        </is>
      </c>
    </row>
    <row r="3">
      <c r="A3" s="2" t="inlineStr">
        <is>
          <t>On-Time Receiving</t>
        </is>
      </c>
      <c r="D3" s="2" t="inlineStr">
        <is>
          <t>Receiving Cycle Time</t>
        </is>
      </c>
      <c r="G3" s="2" t="inlineStr">
        <is>
          <t>Receiving Accuracy</t>
        </is>
      </c>
      <c r="J3" s="2" t="inlineStr">
        <is>
          <t>Damage Rate</t>
        </is>
      </c>
      <c r="M3" s="2" t="inlineStr">
        <is>
          <t>On-Time Report Sending</t>
        </is>
      </c>
    </row>
    <row r="6">
      <c r="A6" s="3" t="inlineStr">
        <is>
          <t>Date</t>
        </is>
      </c>
      <c r="B6" s="3" t="inlineStr">
        <is>
          <t>Shift</t>
        </is>
      </c>
      <c r="C6" s="3" t="inlineStr">
        <is>
          <t>Inbound Ref</t>
        </is>
      </c>
      <c r="D6" s="3" t="inlineStr">
        <is>
          <t>Vehicle Type</t>
        </is>
      </c>
      <c r="E6" s="3" t="inlineStr">
        <is>
          <t>Expected Units</t>
        </is>
      </c>
      <c r="F6" s="3" t="inlineStr">
        <is>
          <t>Received Units</t>
        </is>
      </c>
      <c r="G6" s="3" t="inlineStr">
        <is>
          <t>On-Time</t>
        </is>
      </c>
      <c r="H6" s="3" t="inlineStr">
        <is>
          <t>Cycle Time (min)</t>
        </is>
      </c>
      <c r="I6" s="3" t="inlineStr">
        <is>
          <t>Accurate Units</t>
        </is>
      </c>
      <c r="J6" s="3" t="inlineStr">
        <is>
          <t>Damaged Units</t>
        </is>
      </c>
      <c r="K6" s="3" t="inlineStr">
        <is>
          <t>Report Sent</t>
        </is>
      </c>
      <c r="L6" s="3" t="inlineStr">
        <is>
          <t>Issue / Reason</t>
        </is>
      </c>
      <c r="M6" s="3" t="inlineStr">
        <is>
          <t>Action / Follow-up</t>
        </is>
      </c>
      <c r="N6" s="3" t="inlineStr">
        <is>
          <t>Remarks</t>
        </is>
      </c>
    </row>
    <row r="7">
      <c r="A7" s="4" t="inlineStr">
        <is>
          <t>2026-08-03</t>
        </is>
      </c>
      <c r="B7" s="4" t="inlineStr">
        <is>
          <t>Morning</t>
        </is>
      </c>
      <c r="C7" s="4" t="inlineStr">
        <is>
          <t>INB-260803-01</t>
        </is>
      </c>
      <c r="D7" s="4" t="inlineStr">
        <is>
          <t>6W</t>
        </is>
      </c>
      <c r="E7" s="4" t="n">
        <v>30</v>
      </c>
      <c r="F7" s="4" t="n">
        <v>30</v>
      </c>
      <c r="G7" s="4" t="inlineStr">
        <is>
          <t>Yes</t>
        </is>
      </c>
      <c r="H7" s="4" t="n">
        <v>70</v>
      </c>
      <c r="I7" s="4" t="n">
        <v>30</v>
      </c>
      <c r="J7" s="4" t="n">
        <v>0</v>
      </c>
      <c r="K7" s="4" t="inlineStr">
        <is>
          <t>Yes</t>
        </is>
      </c>
      <c r="L7" s="4" t="inlineStr">
        <is>
          <t>-</t>
        </is>
      </c>
      <c r="M7" s="4" t="inlineStr">
        <is>
          <t>Closed</t>
        </is>
      </c>
      <c r="N7" s="4" t="inlineStr">
        <is>
          <t>Complete</t>
        </is>
      </c>
    </row>
    <row r="8">
      <c r="A8" s="4" t="inlineStr">
        <is>
          <t>2026-08-03</t>
        </is>
      </c>
      <c r="B8" s="4" t="inlineStr">
        <is>
          <t>Evening</t>
        </is>
      </c>
      <c r="C8" s="4" t="inlineStr">
        <is>
          <t>INB-260803-02</t>
        </is>
      </c>
      <c r="D8" s="4" t="inlineStr">
        <is>
          <t>10W</t>
        </is>
      </c>
      <c r="E8" s="4" t="n">
        <v>45</v>
      </c>
      <c r="F8" s="4" t="n">
        <v>44</v>
      </c>
      <c r="G8" s="4" t="inlineStr">
        <is>
          <t>Yes</t>
        </is>
      </c>
      <c r="H8" s="4" t="n">
        <v>80</v>
      </c>
      <c r="I8" s="4" t="n">
        <v>43</v>
      </c>
      <c r="J8" s="4" t="n">
        <v>1</v>
      </c>
      <c r="K8" s="4" t="inlineStr">
        <is>
          <t>Yes</t>
        </is>
      </c>
      <c r="L8" s="4" t="inlineStr">
        <is>
          <t>1 damaged unit</t>
        </is>
      </c>
      <c r="M8" s="4" t="inlineStr">
        <is>
          <t>Damage report</t>
        </is>
      </c>
      <c r="N8" s="4" t="inlineStr">
        <is>
          <t>Photo documented</t>
        </is>
      </c>
    </row>
    <row r="9">
      <c r="A9" s="4" t="inlineStr">
        <is>
          <t>2026-08-04</t>
        </is>
      </c>
      <c r="B9" s="4" t="inlineStr">
        <is>
          <t>Morning</t>
        </is>
      </c>
      <c r="C9" s="4" t="inlineStr">
        <is>
          <t>INB-260804-01</t>
        </is>
      </c>
      <c r="D9" s="4" t="inlineStr">
        <is>
          <t>6W</t>
        </is>
      </c>
      <c r="E9" s="4" t="n">
        <v>25</v>
      </c>
      <c r="F9" s="4" t="n">
        <v>25</v>
      </c>
      <c r="G9" s="4" t="inlineStr">
        <is>
          <t>Yes</t>
        </is>
      </c>
      <c r="H9" s="4" t="n">
        <v>65</v>
      </c>
      <c r="I9" s="4" t="n">
        <v>25</v>
      </c>
      <c r="J9" s="4" t="n">
        <v>0</v>
      </c>
      <c r="K9" s="4" t="inlineStr">
        <is>
          <t>Yes</t>
        </is>
      </c>
      <c r="L9" s="4" t="inlineStr">
        <is>
          <t>-</t>
        </is>
      </c>
      <c r="M9" s="4" t="inlineStr">
        <is>
          <t>Closed</t>
        </is>
      </c>
      <c r="N9" s="4" t="inlineStr">
        <is>
          <t>Complete</t>
        </is>
      </c>
    </row>
    <row r="10">
      <c r="A10" s="4" t="inlineStr">
        <is>
          <t>2026-08-04</t>
        </is>
      </c>
      <c r="B10" s="4" t="inlineStr">
        <is>
          <t>Evening</t>
        </is>
      </c>
      <c r="C10" s="4" t="inlineStr">
        <is>
          <t>INB-260804-02</t>
        </is>
      </c>
      <c r="D10" s="4" t="inlineStr">
        <is>
          <t>10W</t>
        </is>
      </c>
      <c r="E10" s="4" t="n">
        <v>50</v>
      </c>
      <c r="F10" s="4" t="n">
        <v>47</v>
      </c>
      <c r="G10" s="4" t="inlineStr">
        <is>
          <t>No</t>
        </is>
      </c>
      <c r="H10" s="4" t="n">
        <v>105</v>
      </c>
      <c r="I10" s="4" t="n">
        <v>46</v>
      </c>
      <c r="J10" s="4" t="n">
        <v>1</v>
      </c>
      <c r="K10" s="4" t="inlineStr">
        <is>
          <t>Yes</t>
        </is>
      </c>
      <c r="L10" s="4" t="inlineStr">
        <is>
          <t>Loading delay</t>
        </is>
      </c>
      <c r="M10" s="4" t="inlineStr">
        <is>
          <t>Follow up</t>
        </is>
      </c>
      <c r="N10" s="4" t="inlineStr">
        <is>
          <t>3 units pending</t>
        </is>
      </c>
    </row>
    <row r="11">
      <c r="A11" s="4" t="inlineStr">
        <is>
          <t>2026-08-05</t>
        </is>
      </c>
      <c r="B11" s="4" t="inlineStr">
        <is>
          <t>Morning</t>
        </is>
      </c>
      <c r="C11" s="4" t="inlineStr">
        <is>
          <t>INB-260805-01</t>
        </is>
      </c>
      <c r="D11" s="4" t="inlineStr">
        <is>
          <t>6W</t>
        </is>
      </c>
      <c r="E11" s="4" t="n">
        <v>35</v>
      </c>
      <c r="F11" s="4" t="n">
        <v>35</v>
      </c>
      <c r="G11" s="4" t="inlineStr">
        <is>
          <t>Yes</t>
        </is>
      </c>
      <c r="H11" s="4" t="n">
        <v>75</v>
      </c>
      <c r="I11" s="4" t="n">
        <v>34</v>
      </c>
      <c r="J11" s="4" t="n">
        <v>1</v>
      </c>
      <c r="K11" s="4" t="inlineStr">
        <is>
          <t>Yes</t>
        </is>
      </c>
      <c r="L11" s="4" t="inlineStr">
        <is>
          <t>1 discrepancy</t>
        </is>
      </c>
      <c r="M11" s="4" t="inlineStr">
        <is>
          <t>Reconcile</t>
        </is>
      </c>
      <c r="N11" s="4" t="inlineStr">
        <is>
          <t>For checking</t>
        </is>
      </c>
    </row>
    <row r="12">
      <c r="A12" s="4" t="inlineStr">
        <is>
          <t>2026-08-05</t>
        </is>
      </c>
      <c r="B12" s="4" t="inlineStr">
        <is>
          <t>Evening</t>
        </is>
      </c>
      <c r="C12" s="4" t="inlineStr">
        <is>
          <t>INB-260805-02</t>
        </is>
      </c>
      <c r="D12" s="4" t="inlineStr">
        <is>
          <t>10W</t>
        </is>
      </c>
      <c r="E12" s="4" t="n">
        <v>55</v>
      </c>
      <c r="F12" s="4" t="n">
        <v>55</v>
      </c>
      <c r="G12" s="4" t="inlineStr">
        <is>
          <t>Yes</t>
        </is>
      </c>
      <c r="H12" s="4" t="n">
        <v>82</v>
      </c>
      <c r="I12" s="4" t="n">
        <v>55</v>
      </c>
      <c r="J12" s="4" t="n">
        <v>0</v>
      </c>
      <c r="K12" s="4" t="inlineStr">
        <is>
          <t>Yes</t>
        </is>
      </c>
      <c r="L12" s="4" t="inlineStr">
        <is>
          <t>-</t>
        </is>
      </c>
      <c r="M12" s="4" t="inlineStr">
        <is>
          <t>Closed</t>
        </is>
      </c>
      <c r="N12" s="4" t="inlineStr">
        <is>
          <t>Complete</t>
        </is>
      </c>
    </row>
    <row r="13">
      <c r="A13" s="4" t="inlineStr">
        <is>
          <t>2026-08-06</t>
        </is>
      </c>
      <c r="B13" s="4" t="inlineStr">
        <is>
          <t>Morning</t>
        </is>
      </c>
      <c r="C13" s="4" t="inlineStr">
        <is>
          <t>INB-260806-01</t>
        </is>
      </c>
      <c r="D13" s="4" t="inlineStr">
        <is>
          <t>6W</t>
        </is>
      </c>
      <c r="E13" s="4" t="n">
        <v>28</v>
      </c>
      <c r="F13" s="4" t="n">
        <v>27</v>
      </c>
      <c r="G13" s="4" t="inlineStr">
        <is>
          <t>Yes</t>
        </is>
      </c>
      <c r="H13" s="4" t="n">
        <v>78</v>
      </c>
      <c r="I13" s="4" t="n">
        <v>27</v>
      </c>
      <c r="J13" s="4" t="n">
        <v>0</v>
      </c>
      <c r="K13" s="4" t="inlineStr">
        <is>
          <t>Yes</t>
        </is>
      </c>
      <c r="L13" s="4" t="inlineStr">
        <is>
          <t>1 unit pending</t>
        </is>
      </c>
      <c r="M13" s="4" t="inlineStr">
        <is>
          <t>Inventory check</t>
        </is>
      </c>
      <c r="N13" s="4" t="inlineStr">
        <is>
          <t>Monitoring</t>
        </is>
      </c>
    </row>
    <row r="14">
      <c r="A14" s="4" t="inlineStr">
        <is>
          <t>2026-08-06</t>
        </is>
      </c>
      <c r="B14" s="4" t="inlineStr">
        <is>
          <t>Evening</t>
        </is>
      </c>
      <c r="C14" s="4" t="inlineStr">
        <is>
          <t>INB-260806-02</t>
        </is>
      </c>
      <c r="D14" s="4" t="inlineStr">
        <is>
          <t>10W</t>
        </is>
      </c>
      <c r="E14" s="4" t="n">
        <v>48</v>
      </c>
      <c r="F14" s="4" t="n">
        <v>48</v>
      </c>
      <c r="G14" s="4" t="inlineStr">
        <is>
          <t>Yes</t>
        </is>
      </c>
      <c r="H14" s="4" t="n">
        <v>88</v>
      </c>
      <c r="I14" s="4" t="n">
        <v>47</v>
      </c>
      <c r="J14" s="4" t="n">
        <v>1</v>
      </c>
      <c r="K14" s="4" t="inlineStr">
        <is>
          <t>Yes</t>
        </is>
      </c>
      <c r="L14" s="4" t="inlineStr">
        <is>
          <t>1 damaged unit</t>
        </is>
      </c>
      <c r="M14" s="4" t="inlineStr">
        <is>
          <t>Damage report</t>
        </is>
      </c>
      <c r="N14" s="4" t="inlineStr">
        <is>
          <t>Documented</t>
        </is>
      </c>
    </row>
    <row r="15">
      <c r="A15" s="4" t="inlineStr">
        <is>
          <t>2026-08-07</t>
        </is>
      </c>
      <c r="B15" s="4" t="inlineStr">
        <is>
          <t>Morning</t>
        </is>
      </c>
      <c r="C15" s="4" t="inlineStr">
        <is>
          <t>INB-260807-01</t>
        </is>
      </c>
      <c r="D15" s="4" t="inlineStr">
        <is>
          <t>6W</t>
        </is>
      </c>
      <c r="E15" s="4" t="n">
        <v>32</v>
      </c>
      <c r="F15" s="4" t="n">
        <v>32</v>
      </c>
      <c r="G15" s="4" t="inlineStr">
        <is>
          <t>Yes</t>
        </is>
      </c>
      <c r="H15" s="4" t="n">
        <v>72</v>
      </c>
      <c r="I15" s="4" t="n">
        <v>32</v>
      </c>
      <c r="J15" s="4" t="n">
        <v>0</v>
      </c>
      <c r="K15" s="4" t="inlineStr">
        <is>
          <t>Yes</t>
        </is>
      </c>
      <c r="L15" s="4" t="inlineStr">
        <is>
          <t>-</t>
        </is>
      </c>
      <c r="M15" s="4" t="inlineStr">
        <is>
          <t>Closed</t>
        </is>
      </c>
      <c r="N15" s="4" t="inlineStr">
        <is>
          <t>Complete</t>
        </is>
      </c>
    </row>
    <row r="16">
      <c r="A16" s="4" t="inlineStr">
        <is>
          <t>2026-08-07</t>
        </is>
      </c>
      <c r="B16" s="4" t="inlineStr">
        <is>
          <t>Evening</t>
        </is>
      </c>
      <c r="C16" s="4" t="inlineStr">
        <is>
          <t>INB-260807-02</t>
        </is>
      </c>
      <c r="D16" s="4" t="inlineStr">
        <is>
          <t>10W</t>
        </is>
      </c>
      <c r="E16" s="4" t="n">
        <v>52</v>
      </c>
      <c r="F16" s="4" t="n">
        <v>51</v>
      </c>
      <c r="G16" s="4" t="inlineStr">
        <is>
          <t>Yes</t>
        </is>
      </c>
      <c r="H16" s="4" t="n">
        <v>90</v>
      </c>
      <c r="I16" s="4" t="n">
        <v>51</v>
      </c>
      <c r="J16" s="4" t="n">
        <v>0</v>
      </c>
      <c r="K16" s="4" t="inlineStr">
        <is>
          <t>Yes</t>
        </is>
      </c>
      <c r="L16" s="4" t="inlineStr">
        <is>
          <t>1 unit pending</t>
        </is>
      </c>
      <c r="M16" s="4" t="inlineStr">
        <is>
          <t>Follow up</t>
        </is>
      </c>
      <c r="N16" s="4" t="inlineStr">
        <is>
          <t>Monitoring</t>
        </is>
      </c>
    </row>
    <row r="17">
      <c r="A17" s="4" t="inlineStr">
        <is>
          <t>2026-08-08</t>
        </is>
      </c>
      <c r="B17" s="4" t="inlineStr">
        <is>
          <t>Morning</t>
        </is>
      </c>
      <c r="C17" s="4" t="inlineStr">
        <is>
          <t>INB-260808-01</t>
        </is>
      </c>
      <c r="D17" s="4" t="inlineStr">
        <is>
          <t>6W</t>
        </is>
      </c>
      <c r="E17" s="4" t="n">
        <v>27</v>
      </c>
      <c r="F17" s="4" t="n">
        <v>27</v>
      </c>
      <c r="G17" s="4" t="inlineStr">
        <is>
          <t>Yes</t>
        </is>
      </c>
      <c r="H17" s="4" t="n">
        <v>68</v>
      </c>
      <c r="I17" s="4" t="n">
        <v>27</v>
      </c>
      <c r="J17" s="4" t="n">
        <v>0</v>
      </c>
      <c r="K17" s="4" t="inlineStr">
        <is>
          <t>Yes</t>
        </is>
      </c>
      <c r="L17" s="4" t="inlineStr">
        <is>
          <t>-</t>
        </is>
      </c>
      <c r="M17" s="4" t="inlineStr">
        <is>
          <t>Closed</t>
        </is>
      </c>
      <c r="N17" s="4" t="inlineStr">
        <is>
          <t>Complete</t>
        </is>
      </c>
    </row>
    <row r="18">
      <c r="A18" s="4" t="inlineStr">
        <is>
          <t>2026-08-08</t>
        </is>
      </c>
      <c r="B18" s="4" t="inlineStr">
        <is>
          <t>Evening</t>
        </is>
      </c>
      <c r="C18" s="4" t="inlineStr">
        <is>
          <t>INB-260808-02</t>
        </is>
      </c>
      <c r="D18" s="4" t="inlineStr">
        <is>
          <t>10W</t>
        </is>
      </c>
      <c r="E18" s="4" t="n">
        <v>46</v>
      </c>
      <c r="F18" s="4" t="n">
        <v>45</v>
      </c>
      <c r="G18" s="4" t="inlineStr">
        <is>
          <t>No</t>
        </is>
      </c>
      <c r="H18" s="4" t="n">
        <v>115</v>
      </c>
      <c r="I18" s="4" t="n">
        <v>44</v>
      </c>
      <c r="J18" s="4" t="n">
        <v>1</v>
      </c>
      <c r="K18" s="4" t="inlineStr">
        <is>
          <t>Yes</t>
        </is>
      </c>
      <c r="L18" s="4" t="inlineStr">
        <is>
          <t>Late receiving</t>
        </is>
      </c>
      <c r="M18" s="4" t="inlineStr">
        <is>
          <t>Escalated</t>
        </is>
      </c>
      <c r="N18" s="4" t="inlineStr">
        <is>
          <t>For review</t>
        </is>
      </c>
    </row>
  </sheetData>
  <mergeCells count="6">
    <mergeCell ref="J3:K3"/>
    <mergeCell ref="M3:N3"/>
    <mergeCell ref="D3:E3"/>
    <mergeCell ref="A3:B3"/>
    <mergeCell ref="G3:H3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INBOUND KPI CALCULATIONS</t>
        </is>
      </c>
    </row>
    <row r="3">
      <c r="A3" s="5" t="inlineStr">
        <is>
          <t>Total Expected Units</t>
        </is>
      </c>
      <c r="B3">
        <f>SUM('Inbound KPI'!E7:E18)</f>
        <v/>
      </c>
    </row>
    <row r="4">
      <c r="A4" s="5" t="inlineStr">
        <is>
          <t>Total Received Units</t>
        </is>
      </c>
      <c r="B4">
        <f>SUM('Inbound KPI'!F7:F18)</f>
        <v/>
      </c>
    </row>
    <row r="5">
      <c r="A5" s="5" t="inlineStr">
        <is>
          <t>On-Time Receiving</t>
        </is>
      </c>
      <c r="B5" s="6">
        <f>COUNTIF('Inbound KPI'!G7:G18,"Yes")/COUNTA('Inbound KPI'!G7:G18)</f>
        <v/>
      </c>
    </row>
    <row r="6">
      <c r="A6" s="5" t="inlineStr">
        <is>
          <t>Receiving Accuracy</t>
        </is>
      </c>
      <c r="B6" s="6">
        <f>SUM('Inbound KPI'!I7:I18)/SUM('Inbound KPI'!F7:F18)</f>
        <v/>
      </c>
    </row>
    <row r="7">
      <c r="A7" s="5" t="inlineStr">
        <is>
          <t>Damage Rate</t>
        </is>
      </c>
      <c r="B7" s="6">
        <f>SUM('Inbound KPI'!J7:J18)/SUM('Inbound KPI'!F7:F18)</f>
        <v/>
      </c>
    </row>
    <row r="8">
      <c r="A8" s="5" t="inlineStr">
        <is>
          <t>On-Time Report Sending</t>
        </is>
      </c>
      <c r="B8" s="6">
        <f>COUNTIF('Inbound KPI'!K7:K18,"Yes")/COUNTA('Inbound KPI'!K7:K18)</f>
        <v/>
      </c>
    </row>
    <row r="9">
      <c r="A9" s="5" t="inlineStr">
        <is>
          <t>Average Cycle Time (min)</t>
        </is>
      </c>
      <c r="B9">
        <f>AVERAGE('Inbound KPI'!H7:H18)</f>
        <v/>
      </c>
    </row>
    <row r="12">
      <c r="A12" s="5" t="inlineStr">
        <is>
          <t>Portfolio Note</t>
        </is>
      </c>
      <c r="B12" s="7" t="inlineStr">
        <is>
          <t>Original fictional sample inspired by the type of inbound KPI reporting Cassandra has handled. No confidential company data is used.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2026-08-23T02:07:18Z</dcterms:created>
  <dcterms:modified xmlns:dcterms="http://purl.org/dc/terms/" xmlns:xsi="http://www.w3.org/2001/XMLSchema-instance" xsi:type="dcterms:W3CDTF">2026-08-23T02:07:18Z</dcterms:modified>
</cp:coreProperties>
</file>