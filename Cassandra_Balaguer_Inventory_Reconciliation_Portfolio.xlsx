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Reconciliation" sheetId="1" state="visible" r:id="rId1"/>
    <sheet xmlns:r="http://schemas.openxmlformats.org/officeDocument/2006/relationships" name="Reconciliation 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Reconciliation Summary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'Reconciliation KPI'!$A$4:$A$7</f>
            </numRef>
          </cat>
          <val>
            <numRef>
              <f>'Reconciliation KPI'!$B$4:$B$7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nventoryReconTable" displayName="InventoryReconTable" ref="A1:M11" headerRowCount="1">
  <autoFilter ref="A1:M11"/>
  <tableColumns count="13">
    <tableColumn id="1" name="Date"/>
    <tableColumn id="2" name="Seller"/>
    <tableColumn id="3" name="Inbound Reference"/>
    <tableColumn id="4" name="Material Code"/>
    <tableColumn id="5" name="Expected Qty"/>
    <tableColumn id="6" name="Received Qty"/>
    <tableColumn id="7" name="Missing Qty"/>
    <tableColumn id="8" name="Damaged Qty"/>
    <tableColumn id="9" name="Reconciled Qty"/>
    <tableColumn id="10" name="Status"/>
    <tableColumn id="11" name="Discrepancy Type"/>
    <tableColumn id="12" name="Action / Follow-up"/>
    <tableColumn id="13" name="Remark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6" customWidth="1" min="4" max="4"/>
    <col width="15" customWidth="1" min="5" max="5"/>
    <col width="14" customWidth="1" min="6" max="6"/>
    <col width="13" customWidth="1" min="7" max="7"/>
    <col width="14" customWidth="1" min="8" max="8"/>
    <col width="16" customWidth="1" min="9" max="9"/>
    <col width="16" customWidth="1" min="10" max="10"/>
    <col width="22" customWidth="1" min="11" max="11"/>
    <col width="28" customWidth="1" min="12" max="12"/>
    <col width="24" customWidth="1" min="13" max="13"/>
  </cols>
  <sheetData>
    <row r="1">
      <c r="A1" s="1" t="inlineStr">
        <is>
          <t>Date</t>
        </is>
      </c>
      <c r="B1" s="1" t="inlineStr">
        <is>
          <t>Seller</t>
        </is>
      </c>
      <c r="C1" s="1" t="inlineStr">
        <is>
          <t>Inbound Reference</t>
        </is>
      </c>
      <c r="D1" s="1" t="inlineStr">
        <is>
          <t>Material Code</t>
        </is>
      </c>
      <c r="E1" s="1" t="inlineStr">
        <is>
          <t>Expected Qty</t>
        </is>
      </c>
      <c r="F1" s="1" t="inlineStr">
        <is>
          <t>Received Qty</t>
        </is>
      </c>
      <c r="G1" s="1" t="inlineStr">
        <is>
          <t>Missing Qty</t>
        </is>
      </c>
      <c r="H1" s="1" t="inlineStr">
        <is>
          <t>Damaged Qty</t>
        </is>
      </c>
      <c r="I1" s="1" t="inlineStr">
        <is>
          <t>Reconciled Qty</t>
        </is>
      </c>
      <c r="J1" s="1" t="inlineStr">
        <is>
          <t>Status</t>
        </is>
      </c>
      <c r="K1" s="1" t="inlineStr">
        <is>
          <t>Discrepancy Type</t>
        </is>
      </c>
      <c r="L1" s="1" t="inlineStr">
        <is>
          <t>Action / Follow-up</t>
        </is>
      </c>
      <c r="M1" s="1" t="inlineStr">
        <is>
          <t>Remarks</t>
        </is>
      </c>
    </row>
    <row r="2">
      <c r="A2" s="2" t="inlineStr">
        <is>
          <t>2026-08-18</t>
        </is>
      </c>
      <c r="B2" s="2" t="inlineStr">
        <is>
          <t>Seller A</t>
        </is>
      </c>
      <c r="C2" s="2" t="inlineStr">
        <is>
          <t>INB-260818-01</t>
        </is>
      </c>
      <c r="D2" s="2" t="inlineStr">
        <is>
          <t>MAT-001</t>
        </is>
      </c>
      <c r="E2" s="2" t="n">
        <v>100</v>
      </c>
      <c r="F2" s="2" t="n">
        <v>100</v>
      </c>
      <c r="G2" s="2" t="n">
        <v>0</v>
      </c>
      <c r="H2" s="2" t="n">
        <v>0</v>
      </c>
      <c r="I2" s="2">
        <f>F2-H2</f>
        <v/>
      </c>
      <c r="J2" s="2" t="inlineStr">
        <is>
          <t>Reconciled</t>
        </is>
      </c>
      <c r="K2" s="2" t="inlineStr">
        <is>
          <t>None</t>
        </is>
      </c>
      <c r="L2" s="2" t="inlineStr">
        <is>
          <t>Closed</t>
        </is>
      </c>
      <c r="M2" s="2" t="inlineStr">
        <is>
          <t>Complete</t>
        </is>
      </c>
    </row>
    <row r="3">
      <c r="A3" s="2" t="inlineStr">
        <is>
          <t>2026-08-18</t>
        </is>
      </c>
      <c r="B3" s="2" t="inlineStr">
        <is>
          <t>Seller B</t>
        </is>
      </c>
      <c r="C3" s="2" t="inlineStr">
        <is>
          <t>INB-260818-02</t>
        </is>
      </c>
      <c r="D3" s="2" t="inlineStr">
        <is>
          <t>MAT-002</t>
        </is>
      </c>
      <c r="E3" s="2" t="n">
        <v>80</v>
      </c>
      <c r="F3" s="2" t="n">
        <v>78</v>
      </c>
      <c r="G3" s="2" t="n">
        <v>2</v>
      </c>
      <c r="H3" s="2" t="n">
        <v>0</v>
      </c>
      <c r="I3" s="2">
        <f>F3-H3</f>
        <v/>
      </c>
      <c r="J3" s="2" t="inlineStr">
        <is>
          <t>Discrepancy</t>
        </is>
      </c>
      <c r="K3" s="2" t="inlineStr">
        <is>
          <t>Missing</t>
        </is>
      </c>
      <c r="L3" s="2" t="inlineStr">
        <is>
          <t>Inventory search</t>
        </is>
      </c>
      <c r="M3" s="2" t="inlineStr">
        <is>
          <t>2 units for checking</t>
        </is>
      </c>
    </row>
    <row r="4">
      <c r="A4" s="2" t="inlineStr">
        <is>
          <t>2026-08-19</t>
        </is>
      </c>
      <c r="B4" s="2" t="inlineStr">
        <is>
          <t>Seller C</t>
        </is>
      </c>
      <c r="C4" s="2" t="inlineStr">
        <is>
          <t>INB-260819-01</t>
        </is>
      </c>
      <c r="D4" s="2" t="inlineStr">
        <is>
          <t>MAT-003</t>
        </is>
      </c>
      <c r="E4" s="2" t="n">
        <v>60</v>
      </c>
      <c r="F4" s="2" t="n">
        <v>58</v>
      </c>
      <c r="G4" s="2" t="n">
        <v>1</v>
      </c>
      <c r="H4" s="2" t="n">
        <v>1</v>
      </c>
      <c r="I4" s="2">
        <f>F4-H4</f>
        <v/>
      </c>
      <c r="J4" s="2" t="inlineStr">
        <is>
          <t>Discrepancy</t>
        </is>
      </c>
      <c r="K4" s="2" t="inlineStr">
        <is>
          <t>Missing + Damaged</t>
        </is>
      </c>
      <c r="L4" s="2" t="inlineStr">
        <is>
          <t>Investigate and document</t>
        </is>
      </c>
      <c r="M4" s="2" t="inlineStr">
        <is>
          <t>Photo evidence required</t>
        </is>
      </c>
    </row>
    <row r="5">
      <c r="A5" s="2" t="inlineStr">
        <is>
          <t>2026-08-19</t>
        </is>
      </c>
      <c r="B5" s="2" t="inlineStr">
        <is>
          <t>Seller A</t>
        </is>
      </c>
      <c r="C5" s="2" t="inlineStr">
        <is>
          <t>INB-260819-02</t>
        </is>
      </c>
      <c r="D5" s="2" t="inlineStr">
        <is>
          <t>MAT-004</t>
        </is>
      </c>
      <c r="E5" s="2" t="n">
        <v>120</v>
      </c>
      <c r="F5" s="2" t="n">
        <v>120</v>
      </c>
      <c r="G5" s="2" t="n">
        <v>0</v>
      </c>
      <c r="H5" s="2" t="n">
        <v>0</v>
      </c>
      <c r="I5" s="2">
        <f>F5-H5</f>
        <v/>
      </c>
      <c r="J5" s="2" t="inlineStr">
        <is>
          <t>Reconciled</t>
        </is>
      </c>
      <c r="K5" s="2" t="inlineStr">
        <is>
          <t>None</t>
        </is>
      </c>
      <c r="L5" s="2" t="inlineStr">
        <is>
          <t>Closed</t>
        </is>
      </c>
      <c r="M5" s="2" t="inlineStr">
        <is>
          <t>Complete</t>
        </is>
      </c>
    </row>
    <row r="6">
      <c r="A6" s="2" t="inlineStr">
        <is>
          <t>2026-08-20</t>
        </is>
      </c>
      <c r="B6" s="2" t="inlineStr">
        <is>
          <t>Seller D</t>
        </is>
      </c>
      <c r="C6" s="2" t="inlineStr">
        <is>
          <t>INB-260820-01</t>
        </is>
      </c>
      <c r="D6" s="2" t="inlineStr">
        <is>
          <t>MAT-005</t>
        </is>
      </c>
      <c r="E6" s="2" t="n">
        <v>75</v>
      </c>
      <c r="F6" s="2" t="n">
        <v>74</v>
      </c>
      <c r="G6" s="2" t="n">
        <v>1</v>
      </c>
      <c r="H6" s="2" t="n">
        <v>0</v>
      </c>
      <c r="I6" s="2">
        <f>F6-H6</f>
        <v/>
      </c>
      <c r="J6" s="2" t="inlineStr">
        <is>
          <t>Discrepancy</t>
        </is>
      </c>
      <c r="K6" s="2" t="inlineStr">
        <is>
          <t>Missing</t>
        </is>
      </c>
      <c r="L6" s="2" t="inlineStr">
        <is>
          <t>Search inventory</t>
        </is>
      </c>
      <c r="M6" s="2" t="inlineStr">
        <is>
          <t>Pending investigation</t>
        </is>
      </c>
    </row>
    <row r="7">
      <c r="A7" s="2" t="inlineStr">
        <is>
          <t>2026-08-20</t>
        </is>
      </c>
      <c r="B7" s="2" t="inlineStr">
        <is>
          <t>Seller B</t>
        </is>
      </c>
      <c r="C7" s="2" t="inlineStr">
        <is>
          <t>INB-260820-02</t>
        </is>
      </c>
      <c r="D7" s="2" t="inlineStr">
        <is>
          <t>MAT-006</t>
        </is>
      </c>
      <c r="E7" s="2" t="n">
        <v>90</v>
      </c>
      <c r="F7" s="2" t="n">
        <v>89</v>
      </c>
      <c r="G7" s="2" t="n">
        <v>0</v>
      </c>
      <c r="H7" s="2" t="n">
        <v>1</v>
      </c>
      <c r="I7" s="2">
        <f>F7-H7</f>
        <v/>
      </c>
      <c r="J7" s="2" t="inlineStr">
        <is>
          <t>Discrepancy</t>
        </is>
      </c>
      <c r="K7" s="2" t="inlineStr">
        <is>
          <t>Damaged</t>
        </is>
      </c>
      <c r="L7" s="2" t="inlineStr">
        <is>
          <t>Create damage report</t>
        </is>
      </c>
      <c r="M7" s="2" t="inlineStr">
        <is>
          <t>Photo attached</t>
        </is>
      </c>
    </row>
    <row r="8">
      <c r="A8" s="2" t="inlineStr">
        <is>
          <t>2026-08-21</t>
        </is>
      </c>
      <c r="B8" s="2" t="inlineStr">
        <is>
          <t>Seller C</t>
        </is>
      </c>
      <c r="C8" s="2" t="inlineStr">
        <is>
          <t>INB-260821-01</t>
        </is>
      </c>
      <c r="D8" s="2" t="inlineStr">
        <is>
          <t>MAT-007</t>
        </is>
      </c>
      <c r="E8" s="2" t="n">
        <v>50</v>
      </c>
      <c r="F8" s="2" t="n">
        <v>50</v>
      </c>
      <c r="G8" s="2" t="n">
        <v>0</v>
      </c>
      <c r="H8" s="2" t="n">
        <v>0</v>
      </c>
      <c r="I8" s="2">
        <f>F8-H8</f>
        <v/>
      </c>
      <c r="J8" s="2" t="inlineStr">
        <is>
          <t>Reconciled</t>
        </is>
      </c>
      <c r="K8" s="2" t="inlineStr">
        <is>
          <t>None</t>
        </is>
      </c>
      <c r="L8" s="2" t="inlineStr">
        <is>
          <t>Closed</t>
        </is>
      </c>
      <c r="M8" s="2" t="inlineStr">
        <is>
          <t>Complete</t>
        </is>
      </c>
    </row>
    <row r="9">
      <c r="A9" s="2" t="inlineStr">
        <is>
          <t>2026-08-21</t>
        </is>
      </c>
      <c r="B9" s="2" t="inlineStr">
        <is>
          <t>Seller E</t>
        </is>
      </c>
      <c r="C9" s="2" t="inlineStr">
        <is>
          <t>INB-260821-02</t>
        </is>
      </c>
      <c r="D9" s="2" t="inlineStr">
        <is>
          <t>MAT-008</t>
        </is>
      </c>
      <c r="E9" s="2" t="n">
        <v>110</v>
      </c>
      <c r="F9" s="2" t="n">
        <v>107</v>
      </c>
      <c r="G9" s="2" t="n">
        <v>3</v>
      </c>
      <c r="H9" s="2" t="n">
        <v>0</v>
      </c>
      <c r="I9" s="2">
        <f>F9-H9</f>
        <v/>
      </c>
      <c r="J9" s="2" t="inlineStr">
        <is>
          <t>Discrepancy</t>
        </is>
      </c>
      <c r="K9" s="2" t="inlineStr">
        <is>
          <t>Missing</t>
        </is>
      </c>
      <c r="L9" s="2" t="inlineStr">
        <is>
          <t>Escalate for checking</t>
        </is>
      </c>
      <c r="M9" s="2" t="inlineStr">
        <is>
          <t>3 units pending</t>
        </is>
      </c>
    </row>
    <row r="10">
      <c r="A10" s="2" t="inlineStr">
        <is>
          <t>2026-08-22</t>
        </is>
      </c>
      <c r="B10" s="2" t="inlineStr">
        <is>
          <t>Seller D</t>
        </is>
      </c>
      <c r="C10" s="2" t="inlineStr">
        <is>
          <t>INB-260822-01</t>
        </is>
      </c>
      <c r="D10" s="2" t="inlineStr">
        <is>
          <t>MAT-009</t>
        </is>
      </c>
      <c r="E10" s="2" t="n">
        <v>95</v>
      </c>
      <c r="F10" s="2" t="n">
        <v>95</v>
      </c>
      <c r="G10" s="2" t="n">
        <v>0</v>
      </c>
      <c r="H10" s="2" t="n">
        <v>0</v>
      </c>
      <c r="I10" s="2">
        <f>F10-H10</f>
        <v/>
      </c>
      <c r="J10" s="2" t="inlineStr">
        <is>
          <t>Reconciled</t>
        </is>
      </c>
      <c r="K10" s="2" t="inlineStr">
        <is>
          <t>None</t>
        </is>
      </c>
      <c r="L10" s="2" t="inlineStr">
        <is>
          <t>Closed</t>
        </is>
      </c>
      <c r="M10" s="2" t="inlineStr">
        <is>
          <t>Complete</t>
        </is>
      </c>
    </row>
    <row r="11">
      <c r="A11" s="2" t="inlineStr">
        <is>
          <t>2026-08-22</t>
        </is>
      </c>
      <c r="B11" s="2" t="inlineStr">
        <is>
          <t>Seller A</t>
        </is>
      </c>
      <c r="C11" s="2" t="inlineStr">
        <is>
          <t>INB-260822-02</t>
        </is>
      </c>
      <c r="D11" s="2" t="inlineStr">
        <is>
          <t>MAT-010</t>
        </is>
      </c>
      <c r="E11" s="2" t="n">
        <v>70</v>
      </c>
      <c r="F11" s="2" t="n">
        <v>68</v>
      </c>
      <c r="G11" s="2" t="n">
        <v>2</v>
      </c>
      <c r="H11" s="2" t="n">
        <v>0</v>
      </c>
      <c r="I11" s="2">
        <f>F11-H11</f>
        <v/>
      </c>
      <c r="J11" s="2" t="inlineStr">
        <is>
          <t>Discrepancy</t>
        </is>
      </c>
      <c r="K11" s="2" t="inlineStr">
        <is>
          <t>Missing</t>
        </is>
      </c>
      <c r="L11" s="2" t="inlineStr">
        <is>
          <t>Inventory search</t>
        </is>
      </c>
      <c r="M11" s="2" t="inlineStr">
        <is>
          <t>Pending</t>
        </is>
      </c>
    </row>
  </sheetData>
  <conditionalFormatting sqref="J2:J11">
    <cfRule type="expression" priority="1">
      <formula>J2="Discrepancy"</formula>
    </cfRule>
  </conditionalFormatting>
  <conditionalFormatting sqref="G2:H11">
    <cfRule type="expression" priority="2">
      <formula>OR(G2&gt;0,H2&gt;0)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INVENTORY RECONCILIATION — KPI SUMMARY</t>
        </is>
      </c>
    </row>
    <row r="3">
      <c r="A3" s="4" t="inlineStr">
        <is>
          <t>Expected Units</t>
        </is>
      </c>
      <c r="B3">
        <f>SUM('Inventory Reconciliation'!E2:E11)</f>
        <v/>
      </c>
    </row>
    <row r="4">
      <c r="A4" s="4" t="inlineStr">
        <is>
          <t>Received Units</t>
        </is>
      </c>
      <c r="B4">
        <f>SUM('Inventory Reconciliation'!F2:F11)</f>
        <v/>
      </c>
    </row>
    <row r="5">
      <c r="A5" s="4" t="inlineStr">
        <is>
          <t>Missing Units</t>
        </is>
      </c>
      <c r="B5">
        <f>SUM('Inventory Reconciliation'!G2:G11)</f>
        <v/>
      </c>
    </row>
    <row r="6">
      <c r="A6" s="4" t="inlineStr">
        <is>
          <t>Damaged Units</t>
        </is>
      </c>
      <c r="B6">
        <f>SUM('Inventory Reconciliation'!H2:H11)</f>
        <v/>
      </c>
    </row>
    <row r="7">
      <c r="A7" s="4" t="inlineStr">
        <is>
          <t>Reconciled Units</t>
        </is>
      </c>
      <c r="B7">
        <f>SUM('Inventory Reconciliation'!I2:I11)</f>
        <v/>
      </c>
    </row>
    <row r="8">
      <c r="A8" s="4" t="inlineStr">
        <is>
          <t>Reconciliation Rate</t>
        </is>
      </c>
      <c r="B8" s="5">
        <f>B7/B2</f>
        <v/>
      </c>
    </row>
    <row r="9">
      <c r="A9" s="4" t="inlineStr">
        <is>
          <t>Records With Discrepancy</t>
        </is>
      </c>
      <c r="B9">
        <f>COUNTIF('Inventory Reconciliation'!J2:J11,"Discrepancy")</f>
        <v/>
      </c>
    </row>
    <row r="12">
      <c r="A12" s="4" t="inlineStr">
        <is>
          <t>Portfolio Note</t>
        </is>
      </c>
      <c r="B12" s="6" t="inlineStr">
        <is>
          <t>Original fictional sample for Cassandra Balaguer's VA portfolio. No confidential company data is used.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2026-08-23T02:05:50Z</dcterms:created>
  <dcterms:modified xmlns:dcterms="http://purl.org/dc/terms/" xmlns:xsi="http://www.w3.org/2001/XMLSchema-instance" xsi:type="dcterms:W3CDTF">2026-08-23T02:05:50Z</dcterms:modified>
</cp:coreProperties>
</file>