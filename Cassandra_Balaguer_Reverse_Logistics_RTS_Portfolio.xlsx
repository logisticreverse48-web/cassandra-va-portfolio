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rse Logistics" sheetId="1" state="visible" r:id="rId1"/>
    <sheet xmlns:r="http://schemas.openxmlformats.org/officeDocument/2006/relationships" name="RTS 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Reverse Logistics Case Summary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'RTS KPI'!$A$5:$A$6</f>
            </numRef>
          </cat>
          <val>
            <numRef>
              <f>'RTS KPI'!$B$5:$B$6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verseLogisticsTable" displayName="ReverseLogisticsTable" ref="A1:M13" headerRowCount="1">
  <autoFilter ref="A1:M13"/>
  <tableColumns count="13">
    <tableColumn id="1" name="Date"/>
    <tableColumn id="2" name="Case / Unit ID"/>
    <tableColumn id="3" name="Type"/>
    <tableColumn id="4" name="Seller / Client"/>
    <tableColumn id="5" name="Driver / Helper"/>
    <tableColumn id="6" name="Reference No."/>
    <tableColumn id="7" name="Qty"/>
    <tableColumn id="8" name="Pickup Status"/>
    <tableColumn id="9" name="System Status"/>
    <tableColumn id="10" name="Issue / Reason"/>
    <tableColumn id="11" name="Follow-up Action"/>
    <tableColumn id="12" name="Document Status"/>
    <tableColumn id="13" name="Remark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8" customWidth="1" min="4" max="4"/>
    <col width="18" customWidth="1" min="5" max="5"/>
    <col width="20" customWidth="1" min="6" max="6"/>
    <col width="8" customWidth="1" min="7" max="7"/>
    <col width="16" customWidth="1" min="8" max="8"/>
    <col width="16" customWidth="1" min="9" max="9"/>
    <col width="28" customWidth="1" min="10" max="10"/>
    <col width="28" customWidth="1" min="11" max="11"/>
    <col width="18" customWidth="1" min="12" max="12"/>
    <col width="24" customWidth="1" min="13" max="13"/>
  </cols>
  <sheetData>
    <row r="1">
      <c r="A1" s="1" t="inlineStr">
        <is>
          <t>Date</t>
        </is>
      </c>
      <c r="B1" s="1" t="inlineStr">
        <is>
          <t>Case / Unit ID</t>
        </is>
      </c>
      <c r="C1" s="1" t="inlineStr">
        <is>
          <t>Type</t>
        </is>
      </c>
      <c r="D1" s="1" t="inlineStr">
        <is>
          <t>Seller / Client</t>
        </is>
      </c>
      <c r="E1" s="1" t="inlineStr">
        <is>
          <t>Driver / Helper</t>
        </is>
      </c>
      <c r="F1" s="1" t="inlineStr">
        <is>
          <t>Reference No.</t>
        </is>
      </c>
      <c r="G1" s="1" t="inlineStr">
        <is>
          <t>Qty</t>
        </is>
      </c>
      <c r="H1" s="1" t="inlineStr">
        <is>
          <t>Pickup Status</t>
        </is>
      </c>
      <c r="I1" s="1" t="inlineStr">
        <is>
          <t>System Status</t>
        </is>
      </c>
      <c r="J1" s="1" t="inlineStr">
        <is>
          <t>Issue / Reason</t>
        </is>
      </c>
      <c r="K1" s="1" t="inlineStr">
        <is>
          <t>Follow-up Action</t>
        </is>
      </c>
      <c r="L1" s="1" t="inlineStr">
        <is>
          <t>Document Status</t>
        </is>
      </c>
      <c r="M1" s="1" t="inlineStr">
        <is>
          <t>Remarks</t>
        </is>
      </c>
    </row>
    <row r="2">
      <c r="A2" s="2" t="inlineStr">
        <is>
          <t>2026-08-18</t>
        </is>
      </c>
      <c r="B2" s="2" t="inlineStr">
        <is>
          <t>RL-1001</t>
        </is>
      </c>
      <c r="C2" s="2" t="inlineStr">
        <is>
          <t>Pull-out</t>
        </is>
      </c>
      <c r="D2" s="2" t="inlineStr">
        <is>
          <t>Client A</t>
        </is>
      </c>
      <c r="E2" s="2" t="inlineStr">
        <is>
          <t>Driver A</t>
        </is>
      </c>
      <c r="F2" s="2" t="inlineStr">
        <is>
          <t>REF-260818-01</t>
        </is>
      </c>
      <c r="G2" s="2" t="n">
        <v>2</v>
      </c>
      <c r="H2" s="2" t="inlineStr">
        <is>
          <t>Picked Up</t>
        </is>
      </c>
      <c r="I2" s="2" t="inlineStr">
        <is>
          <t>In Transit</t>
        </is>
      </c>
      <c r="J2" s="2" t="inlineStr">
        <is>
          <t>Scheduled pull-out</t>
        </is>
      </c>
      <c r="K2" s="2" t="inlineStr">
        <is>
          <t>Monitor in system</t>
        </is>
      </c>
      <c r="L2" s="2" t="inlineStr">
        <is>
          <t>Complete</t>
        </is>
      </c>
      <c r="M2" s="2" t="inlineStr">
        <is>
          <t>Documents released</t>
        </is>
      </c>
    </row>
    <row r="3">
      <c r="A3" s="2" t="inlineStr">
        <is>
          <t>2026-08-18</t>
        </is>
      </c>
      <c r="B3" s="2" t="inlineStr">
        <is>
          <t>RL-1002</t>
        </is>
      </c>
      <c r="C3" s="2" t="inlineStr">
        <is>
          <t>Bounce</t>
        </is>
      </c>
      <c r="D3" s="2" t="inlineStr">
        <is>
          <t>Client B</t>
        </is>
      </c>
      <c r="E3" s="2" t="inlineStr">
        <is>
          <t>Driver B</t>
        </is>
      </c>
      <c r="F3" s="2" t="inlineStr">
        <is>
          <t>REF-260818-02</t>
        </is>
      </c>
      <c r="G3" s="2" t="n">
        <v>1</v>
      </c>
      <c r="H3" s="2" t="inlineStr">
        <is>
          <t>Picked Up</t>
        </is>
      </c>
      <c r="I3" s="2" t="inlineStr">
        <is>
          <t>Completed</t>
        </is>
      </c>
      <c r="J3" s="2" t="inlineStr">
        <is>
          <t>Delivery bounced</t>
        </is>
      </c>
      <c r="K3" s="2" t="inlineStr">
        <is>
          <t>Update system</t>
        </is>
      </c>
      <c r="L3" s="2" t="inlineStr">
        <is>
          <t>Complete</t>
        </is>
      </c>
      <c r="M3" s="2" t="inlineStr">
        <is>
          <t>Returned successfully</t>
        </is>
      </c>
    </row>
    <row r="4">
      <c r="A4" s="2" t="inlineStr">
        <is>
          <t>2026-08-19</t>
        </is>
      </c>
      <c r="B4" s="2" t="inlineStr">
        <is>
          <t>RL-1003</t>
        </is>
      </c>
      <c r="C4" s="2" t="inlineStr">
        <is>
          <t>Pull-out</t>
        </is>
      </c>
      <c r="D4" s="2" t="inlineStr">
        <is>
          <t>Client C</t>
        </is>
      </c>
      <c r="E4" s="2" t="inlineStr">
        <is>
          <t>Driver C</t>
        </is>
      </c>
      <c r="F4" s="2" t="inlineStr">
        <is>
          <t>REF-260819-01</t>
        </is>
      </c>
      <c r="G4" s="2" t="n">
        <v>3</v>
      </c>
      <c r="H4" s="2" t="inlineStr">
        <is>
          <t>Pending</t>
        </is>
      </c>
      <c r="I4" s="2" t="inlineStr">
        <is>
          <t>Pending</t>
        </is>
      </c>
      <c r="J4" s="2" t="inlineStr">
        <is>
          <t>Driver not yet arrived</t>
        </is>
      </c>
      <c r="K4" s="2" t="inlineStr">
        <is>
          <t>Contact driver/helper</t>
        </is>
      </c>
      <c r="L4" s="2" t="inlineStr">
        <is>
          <t>Prepared</t>
        </is>
      </c>
      <c r="M4" s="2" t="inlineStr">
        <is>
          <t>Awaiting pickup</t>
        </is>
      </c>
    </row>
    <row r="5">
      <c r="A5" s="2" t="inlineStr">
        <is>
          <t>2026-08-19</t>
        </is>
      </c>
      <c r="B5" s="2" t="inlineStr">
        <is>
          <t>RL-1004</t>
        </is>
      </c>
      <c r="C5" s="2" t="inlineStr">
        <is>
          <t>Bounce</t>
        </is>
      </c>
      <c r="D5" s="2" t="inlineStr">
        <is>
          <t>Client A</t>
        </is>
      </c>
      <c r="E5" s="2" t="inlineStr">
        <is>
          <t>Driver D</t>
        </is>
      </c>
      <c r="F5" s="2" t="inlineStr">
        <is>
          <t>REF-260819-02</t>
        </is>
      </c>
      <c r="G5" s="2" t="n">
        <v>1</v>
      </c>
      <c r="H5" s="2" t="inlineStr">
        <is>
          <t>Picked Up</t>
        </is>
      </c>
      <c r="I5" s="2" t="inlineStr">
        <is>
          <t>In Transit</t>
        </is>
      </c>
      <c r="J5" s="2" t="inlineStr">
        <is>
          <t>Customer unavailable</t>
        </is>
      </c>
      <c r="K5" s="2" t="inlineStr">
        <is>
          <t>Monitor return</t>
        </is>
      </c>
      <c r="L5" s="2" t="inlineStr">
        <is>
          <t>Complete</t>
        </is>
      </c>
      <c r="M5" s="2" t="inlineStr">
        <is>
          <t>For receiving</t>
        </is>
      </c>
    </row>
    <row r="6">
      <c r="A6" s="2" t="inlineStr">
        <is>
          <t>2026-08-20</t>
        </is>
      </c>
      <c r="B6" s="2" t="inlineStr">
        <is>
          <t>RL-1005</t>
        </is>
      </c>
      <c r="C6" s="2" t="inlineStr">
        <is>
          <t>Pull-out</t>
        </is>
      </c>
      <c r="D6" s="2" t="inlineStr">
        <is>
          <t>Client D</t>
        </is>
      </c>
      <c r="E6" s="2" t="inlineStr">
        <is>
          <t>Driver E</t>
        </is>
      </c>
      <c r="F6" s="2" t="inlineStr">
        <is>
          <t>REF-260820-01</t>
        </is>
      </c>
      <c r="G6" s="2" t="n">
        <v>2</v>
      </c>
      <c r="H6" s="2" t="inlineStr">
        <is>
          <t>Picked Up</t>
        </is>
      </c>
      <c r="I6" s="2" t="inlineStr">
        <is>
          <t>Completed</t>
        </is>
      </c>
      <c r="J6" s="2" t="inlineStr">
        <is>
          <t>Scheduled pull-out</t>
        </is>
      </c>
      <c r="K6" s="2" t="inlineStr">
        <is>
          <t>Close monitoring</t>
        </is>
      </c>
      <c r="L6" s="2" t="inlineStr">
        <is>
          <t>Complete</t>
        </is>
      </c>
      <c r="M6" s="2" t="inlineStr">
        <is>
          <t>Completed</t>
        </is>
      </c>
    </row>
    <row r="7">
      <c r="A7" s="2" t="inlineStr">
        <is>
          <t>2026-08-20</t>
        </is>
      </c>
      <c r="B7" s="2" t="inlineStr">
        <is>
          <t>RL-1006</t>
        </is>
      </c>
      <c r="C7" s="2" t="inlineStr">
        <is>
          <t>Bounce</t>
        </is>
      </c>
      <c r="D7" s="2" t="inlineStr">
        <is>
          <t>Client E</t>
        </is>
      </c>
      <c r="E7" s="2" t="inlineStr">
        <is>
          <t>Driver F</t>
        </is>
      </c>
      <c r="F7" s="2" t="inlineStr">
        <is>
          <t>REF-260820-02</t>
        </is>
      </c>
      <c r="G7" s="2" t="n">
        <v>2</v>
      </c>
      <c r="H7" s="2" t="inlineStr">
        <is>
          <t>Pending</t>
        </is>
      </c>
      <c r="I7" s="2" t="inlineStr">
        <is>
          <t>Pending</t>
        </is>
      </c>
      <c r="J7" s="2" t="inlineStr">
        <is>
          <t>Driver confirmation needed</t>
        </is>
      </c>
      <c r="K7" s="2" t="inlineStr">
        <is>
          <t>Follow up driver</t>
        </is>
      </c>
      <c r="L7" s="2" t="inlineStr">
        <is>
          <t>Prepared</t>
        </is>
      </c>
      <c r="M7" s="2" t="inlineStr">
        <is>
          <t>Waiting confirmation</t>
        </is>
      </c>
    </row>
    <row r="8">
      <c r="A8" s="2" t="inlineStr">
        <is>
          <t>2026-08-21</t>
        </is>
      </c>
      <c r="B8" s="2" t="inlineStr">
        <is>
          <t>RL-1007</t>
        </is>
      </c>
      <c r="C8" s="2" t="inlineStr">
        <is>
          <t>Pull-out</t>
        </is>
      </c>
      <c r="D8" s="2" t="inlineStr">
        <is>
          <t>Client B</t>
        </is>
      </c>
      <c r="E8" s="2" t="inlineStr">
        <is>
          <t>Driver A</t>
        </is>
      </c>
      <c r="F8" s="2" t="inlineStr">
        <is>
          <t>REF-260821-01</t>
        </is>
      </c>
      <c r="G8" s="2" t="n">
        <v>1</v>
      </c>
      <c r="H8" s="2" t="inlineStr">
        <is>
          <t>Picked Up</t>
        </is>
      </c>
      <c r="I8" s="2" t="inlineStr">
        <is>
          <t>In Transit</t>
        </is>
      </c>
      <c r="J8" s="2" t="inlineStr">
        <is>
          <t>Scheduled pull-out</t>
        </is>
      </c>
      <c r="K8" s="2" t="inlineStr">
        <is>
          <t>Monitor system</t>
        </is>
      </c>
      <c r="L8" s="2" t="inlineStr">
        <is>
          <t>Complete</t>
        </is>
      </c>
      <c r="M8" s="2" t="inlineStr">
        <is>
          <t>In transit</t>
        </is>
      </c>
    </row>
    <row r="9">
      <c r="A9" s="2" t="inlineStr">
        <is>
          <t>2026-08-21</t>
        </is>
      </c>
      <c r="B9" s="2" t="inlineStr">
        <is>
          <t>RL-1008</t>
        </is>
      </c>
      <c r="C9" s="2" t="inlineStr">
        <is>
          <t>Bounce</t>
        </is>
      </c>
      <c r="D9" s="2" t="inlineStr">
        <is>
          <t>Client C</t>
        </is>
      </c>
      <c r="E9" s="2" t="inlineStr">
        <is>
          <t>Driver C</t>
        </is>
      </c>
      <c r="F9" s="2" t="inlineStr">
        <is>
          <t>REF-260821-02</t>
        </is>
      </c>
      <c r="G9" s="2" t="n">
        <v>1</v>
      </c>
      <c r="H9" s="2" t="inlineStr">
        <is>
          <t>Picked Up</t>
        </is>
      </c>
      <c r="I9" s="2" t="inlineStr">
        <is>
          <t>Completed</t>
        </is>
      </c>
      <c r="J9" s="2" t="inlineStr">
        <is>
          <t>Delivery rejected</t>
        </is>
      </c>
      <c r="K9" s="2" t="inlineStr">
        <is>
          <t>Update system</t>
        </is>
      </c>
      <c r="L9" s="2" t="inlineStr">
        <is>
          <t>Complete</t>
        </is>
      </c>
      <c r="M9" s="2" t="inlineStr">
        <is>
          <t>Returned</t>
        </is>
      </c>
    </row>
    <row r="10">
      <c r="A10" s="2" t="inlineStr">
        <is>
          <t>2026-08-22</t>
        </is>
      </c>
      <c r="B10" s="2" t="inlineStr">
        <is>
          <t>RL-1009</t>
        </is>
      </c>
      <c r="C10" s="2" t="inlineStr">
        <is>
          <t>Pull-out</t>
        </is>
      </c>
      <c r="D10" s="2" t="inlineStr">
        <is>
          <t>Client D</t>
        </is>
      </c>
      <c r="E10" s="2" t="inlineStr">
        <is>
          <t>Driver D</t>
        </is>
      </c>
      <c r="F10" s="2" t="inlineStr">
        <is>
          <t>REF-260822-01</t>
        </is>
      </c>
      <c r="G10" s="2" t="n">
        <v>4</v>
      </c>
      <c r="H10" s="2" t="inlineStr">
        <is>
          <t>Pending</t>
        </is>
      </c>
      <c r="I10" s="2" t="inlineStr">
        <is>
          <t>Pending</t>
        </is>
      </c>
      <c r="J10" s="2" t="inlineStr">
        <is>
          <t>Unit preparation delay</t>
        </is>
      </c>
      <c r="K10" s="2" t="inlineStr">
        <is>
          <t>Coordinate warehouse</t>
        </is>
      </c>
      <c r="L10" s="2" t="inlineStr">
        <is>
          <t>Prepared</t>
        </is>
      </c>
      <c r="M10" s="2" t="inlineStr">
        <is>
          <t>Pending pickup</t>
        </is>
      </c>
    </row>
    <row r="11">
      <c r="A11" s="2" t="inlineStr">
        <is>
          <t>2026-08-22</t>
        </is>
      </c>
      <c r="B11" s="2" t="inlineStr">
        <is>
          <t>RL-1010</t>
        </is>
      </c>
      <c r="C11" s="2" t="inlineStr">
        <is>
          <t>Bounce</t>
        </is>
      </c>
      <c r="D11" s="2" t="inlineStr">
        <is>
          <t>Client E</t>
        </is>
      </c>
      <c r="E11" s="2" t="inlineStr">
        <is>
          <t>Driver E</t>
        </is>
      </c>
      <c r="F11" s="2" t="inlineStr">
        <is>
          <t>REF-260822-02</t>
        </is>
      </c>
      <c r="G11" s="2" t="n">
        <v>1</v>
      </c>
      <c r="H11" s="2" t="inlineStr">
        <is>
          <t>Picked Up</t>
        </is>
      </c>
      <c r="I11" s="2" t="inlineStr">
        <is>
          <t>Completed</t>
        </is>
      </c>
      <c r="J11" s="2" t="inlineStr">
        <is>
          <t>Customer unavailable</t>
        </is>
      </c>
      <c r="K11" s="2" t="inlineStr">
        <is>
          <t>Close case</t>
        </is>
      </c>
      <c r="L11" s="2" t="inlineStr">
        <is>
          <t>Complete</t>
        </is>
      </c>
      <c r="M11" s="2" t="inlineStr">
        <is>
          <t>Completed</t>
        </is>
      </c>
    </row>
    <row r="12">
      <c r="A12" s="2" t="inlineStr">
        <is>
          <t>2026-08-22</t>
        </is>
      </c>
      <c r="B12" s="2" t="inlineStr">
        <is>
          <t>RL-1011</t>
        </is>
      </c>
      <c r="C12" s="2" t="inlineStr">
        <is>
          <t>Pull-out</t>
        </is>
      </c>
      <c r="D12" s="2" t="inlineStr">
        <is>
          <t>Client A</t>
        </is>
      </c>
      <c r="E12" s="2" t="inlineStr">
        <is>
          <t>Driver F</t>
        </is>
      </c>
      <c r="F12" s="2" t="inlineStr">
        <is>
          <t>REF-260822-03</t>
        </is>
      </c>
      <c r="G12" s="2" t="n">
        <v>2</v>
      </c>
      <c r="H12" s="2" t="inlineStr">
        <is>
          <t>Picked Up</t>
        </is>
      </c>
      <c r="I12" s="2" t="inlineStr">
        <is>
          <t>Completed</t>
        </is>
      </c>
      <c r="J12" s="2" t="inlineStr">
        <is>
          <t>Scheduled pull-out</t>
        </is>
      </c>
      <c r="K12" s="2" t="inlineStr">
        <is>
          <t>Close monitoring</t>
        </is>
      </c>
      <c r="L12" s="2" t="inlineStr">
        <is>
          <t>Complete</t>
        </is>
      </c>
      <c r="M12" s="2" t="inlineStr">
        <is>
          <t>Completed</t>
        </is>
      </c>
    </row>
    <row r="13">
      <c r="A13" s="2" t="inlineStr">
        <is>
          <t>2026-08-23</t>
        </is>
      </c>
      <c r="B13" s="2" t="inlineStr">
        <is>
          <t>RL-1012</t>
        </is>
      </c>
      <c r="C13" s="2" t="inlineStr">
        <is>
          <t>Bounce</t>
        </is>
      </c>
      <c r="D13" s="2" t="inlineStr">
        <is>
          <t>Client B</t>
        </is>
      </c>
      <c r="E13" s="2" t="inlineStr">
        <is>
          <t>Driver B</t>
        </is>
      </c>
      <c r="F13" s="2" t="inlineStr">
        <is>
          <t>REF-260823-01</t>
        </is>
      </c>
      <c r="G13" s="2" t="n">
        <v>1</v>
      </c>
      <c r="H13" s="2" t="inlineStr">
        <is>
          <t>Pending</t>
        </is>
      </c>
      <c r="I13" s="2" t="inlineStr">
        <is>
          <t>Pending</t>
        </is>
      </c>
      <c r="J13" s="2" t="inlineStr">
        <is>
          <t>Driver confirmation needed</t>
        </is>
      </c>
      <c r="K13" s="2" t="inlineStr">
        <is>
          <t>Follow up driver/helper</t>
        </is>
      </c>
      <c r="L13" s="2" t="inlineStr">
        <is>
          <t>Prepared</t>
        </is>
      </c>
      <c r="M13" s="2" t="inlineStr">
        <is>
          <t>For pickup</t>
        </is>
      </c>
    </row>
  </sheetData>
  <conditionalFormatting sqref="H2:I13">
    <cfRule type="expression" priority="1">
      <formula>OR(H2="Pending",I2="Pending")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3" t="inlineStr">
        <is>
          <t>REVERSE LOGISTICS / RTS KPI</t>
        </is>
      </c>
    </row>
    <row r="3">
      <c r="A3" s="4" t="inlineStr">
        <is>
          <t>Total Units</t>
        </is>
      </c>
      <c r="B3">
        <f>SUM('Reverse Logistics'!G2:G13)</f>
        <v/>
      </c>
    </row>
    <row r="4">
      <c r="A4" s="4" t="inlineStr">
        <is>
          <t>Total Cases</t>
        </is>
      </c>
      <c r="B4">
        <f>COUNTA('Reverse Logistics'!B2:B13)</f>
        <v/>
      </c>
    </row>
    <row r="5">
      <c r="A5" s="4" t="inlineStr">
        <is>
          <t>Pull-out Cases</t>
        </is>
      </c>
      <c r="B5">
        <f>COUNTIF('Reverse Logistics'!C2:C13,"Pull-out")</f>
        <v/>
      </c>
    </row>
    <row r="6">
      <c r="A6" s="4" t="inlineStr">
        <is>
          <t>Bounce Cases</t>
        </is>
      </c>
      <c r="B6">
        <f>COUNTIF('Reverse Logistics'!C2:C13,"Bounce")</f>
        <v/>
      </c>
    </row>
    <row r="7">
      <c r="A7" s="4" t="inlineStr">
        <is>
          <t>Completed Cases</t>
        </is>
      </c>
      <c r="B7">
        <f>COUNTIF('Reverse Logistics'!I2:I13,"Completed")</f>
        <v/>
      </c>
    </row>
    <row r="8">
      <c r="A8" s="4" t="inlineStr">
        <is>
          <t>Pending Cases</t>
        </is>
      </c>
      <c r="B8">
        <f>COUNTIF('Reverse Logistics'!I2:I13,"Pending")</f>
        <v/>
      </c>
    </row>
    <row r="9">
      <c r="A9" s="4" t="inlineStr">
        <is>
          <t>Completion Rate</t>
        </is>
      </c>
      <c r="B9" s="5">
        <f>B7/B4</f>
        <v/>
      </c>
    </row>
    <row r="12">
      <c r="A12" s="4" t="inlineStr">
        <is>
          <t>Portfolio Note</t>
        </is>
      </c>
      <c r="B12" s="6" t="inlineStr">
        <is>
          <t>Original fictional sample for Cassandra Balaguer's VA portfolio. No confidential company data is used.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2026-08-23T02:08:45Z</dcterms:created>
  <dcterms:modified xmlns:dcterms="http://purl.org/dc/terms/" xmlns:xsi="http://www.w3.org/2001/XMLSchema-instance" xsi:type="dcterms:W3CDTF">2026-08-23T02:08:45Z</dcterms:modified>
</cp:coreProperties>
</file>